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. Cluster Data" sheetId="1" state="visible" r:id="rId3"/>
    <sheet name="2. Bridge Credits (Pre-Renewal)" sheetId="2" state="visible" r:id="rId4"/>
    <sheet name="2b. Enterprise Bridge" sheetId="3" state="visible" r:id="rId5"/>
    <sheet name="3. Renewal Strateg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<sst xmlns="http://schemas.openxmlformats.org/spreadsheetml/2006/main" count="273" uniqueCount="131">
  <si>
    <t xml:space="preserve">Couchbase Capella — Cluster Data &amp; Credit Inputs</t>
  </si>
  <si>
    <t xml:space="preserve">Source: Capella Billing Report (Mar 26, 2026) + Capella Estimated Monthly Cost per cluster</t>
  </si>
  <si>
    <t xml:space="preserve">Color key:</t>
  </si>
  <si>
    <t xml:space="preserve">Blue = hardcoded input</t>
  </si>
  <si>
    <t xml:space="preserve">Black = formula</t>
  </si>
  <si>
    <t xml:space="preserve">A. Current Contract Snapshot (as of Apr 6, 2026)</t>
  </si>
  <si>
    <t xml:space="preserve">Plan</t>
  </si>
  <si>
    <t xml:space="preserve">Start Date</t>
  </si>
  <si>
    <t xml:space="preserve">End Date</t>
  </si>
  <si>
    <t xml:space="preserve">Total Credits</t>
  </si>
  <si>
    <t xml:space="preserve">Credits Used</t>
  </si>
  <si>
    <t xml:space="preserve">Remaining</t>
  </si>
  <si>
    <t xml:space="preserve">Developer Pro</t>
  </si>
  <si>
    <t xml:space="preserve">Jul 30, 2025</t>
  </si>
  <si>
    <t xml:space="preserve">Jul 29, 2026</t>
  </si>
  <si>
    <t xml:space="preserve">Enterprise</t>
  </si>
  <si>
    <t xml:space="preserve">B. Cluster Credit Detail — Monthly Consumption &amp; Estimates</t>
  </si>
  <si>
    <t xml:space="preserve">Cluster</t>
  </si>
  <si>
    <t xml:space="preserve">Type</t>
  </si>
  <si>
    <t xml:space="preserve">IaaS?</t>
  </si>
  <si>
    <t xml:space="preserve">Status</t>
  </si>
  <si>
    <t xml:space="preserve">Mar Credits (26 days)</t>
  </si>
  <si>
    <t xml:space="preserve">Daily Avg (Actual)</t>
  </si>
  <si>
    <t xml:space="preserve">Capella Est. Credits/mo</t>
  </si>
  <si>
    <t xml:space="preserve">Daily Avg (Estimate)</t>
  </si>
  <si>
    <t xml:space="preserve">PAYG $/mo</t>
  </si>
  <si>
    <t xml:space="preserve">Action</t>
  </si>
  <si>
    <t xml:space="preserve">PRDCCDMAZCEN_001</t>
  </si>
  <si>
    <t xml:space="preserve">Production</t>
  </si>
  <si>
    <t xml:space="preserve">Yes</t>
  </si>
  <si>
    <t xml:space="preserve">Keep</t>
  </si>
  <si>
    <t xml:space="preserve">PRDCCDMAZEST2_001</t>
  </si>
  <si>
    <t xml:space="preserve">Production DR</t>
  </si>
  <si>
    <t xml:space="preserve">DEVCCDMAZCEN_001</t>
  </si>
  <si>
    <t xml:space="preserve">Dev (IaaS)</t>
  </si>
  <si>
    <t xml:space="preserve">QACCDMAZCEN_001</t>
  </si>
  <si>
    <t xml:space="preserve">QA (IaaS)</t>
  </si>
  <si>
    <t xml:space="preserve">UATCCDM001_PVT</t>
  </si>
  <si>
    <t xml:space="preserve">UAT (IaaS)</t>
  </si>
  <si>
    <t xml:space="preserve">DEVCCDM001</t>
  </si>
  <si>
    <t xml:space="preserve">Dev (non-IaaS)</t>
  </si>
  <si>
    <t xml:space="preserve">No</t>
  </si>
  <si>
    <t xml:space="preserve">Keep (for now)</t>
  </si>
  <si>
    <t xml:space="preserve">—</t>
  </si>
  <si>
    <t xml:space="preserve">QACCDM001</t>
  </si>
  <si>
    <t xml:space="preserve">QA (non-IaaS)</t>
  </si>
  <si>
    <t xml:space="preserve">Decommission</t>
  </si>
  <si>
    <t xml:space="preserve">UATCCDM001</t>
  </si>
  <si>
    <t xml:space="preserve">UAT (non-IaaS)</t>
  </si>
  <si>
    <t xml:space="preserve">UATCCDM002_PVT</t>
  </si>
  <si>
    <t xml:space="preserve">Bridge Credits Required — Now Until Jul 29, 2026</t>
  </si>
  <si>
    <t xml:space="preserve">Developer Pro credits exhaust ~Apr 17. Bridge credits needed to cover Apr 17 → Jul 29 (103 days).</t>
  </si>
  <si>
    <t xml:space="preserve">Key Assumptions</t>
  </si>
  <si>
    <t xml:space="preserve">Assumption</t>
  </si>
  <si>
    <t xml:space="preserve">Value</t>
  </si>
  <si>
    <t xml:space="preserve">Note</t>
  </si>
  <si>
    <t xml:space="preserve">Dev Pro credits remaining (Apr 6)</t>
  </si>
  <si>
    <t xml:space="preserve">Source: Capella portal — Apr 6, 2026</t>
  </si>
  <si>
    <t xml:space="preserve">Exhaustion date</t>
  </si>
  <si>
    <t xml:space="preserve">Apr 17, 2026</t>
  </si>
  <si>
    <t xml:space="preserve">Approx 11 days at current burn</t>
  </si>
  <si>
    <t xml:space="preserve">Days from exhaustion to renewal</t>
  </si>
  <si>
    <t xml:space="preserve">Apr 17 → Jul 29, 2026</t>
  </si>
  <si>
    <t xml:space="preserve">Buffer factor</t>
  </si>
  <si>
    <t xml:space="preserve">10% safety buffer on all estimates</t>
  </si>
  <si>
    <t xml:space="preserve">Scenario A — DEVCCDM001 (non-IaaS) Remains Active</t>
  </si>
  <si>
    <t xml:space="preserve">Daily Burn (credits)</t>
  </si>
  <si>
    <t xml:space="preserve">Days</t>
  </si>
  <si>
    <t xml:space="preserve">Credits Needed</t>
  </si>
  <si>
    <t xml:space="preserve">With 10% Buffer</t>
  </si>
  <si>
    <t xml:space="preserve">Keep (non-IaaS)</t>
  </si>
  <si>
    <t xml:space="preserve">Keep (IaaS)</t>
  </si>
  <si>
    <t xml:space="preserve">TOTAL — Scenario A</t>
  </si>
  <si>
    <t xml:space="preserve">Scenario B — Non-IaaS Decommissioned (DEVCCDM001 kept, QA/UAT removed)</t>
  </si>
  <si>
    <t xml:space="preserve">TOTAL — Scenario B</t>
  </si>
  <si>
    <t xml:space="preserve">Credit Savings (Scenario A - Scenario B, with buffer)</t>
  </si>
  <si>
    <t xml:space="preserve">Enterprise Bridge Credits — Now Until Jul 29, 2026</t>
  </si>
  <si>
    <t xml:space="preserve">Enterprise has 100,730 credits remaining. Whether a top-up is needed depends on whether DR cluster (PRDCCDMAZEST2_001) is active.</t>
  </si>
  <si>
    <t xml:space="preserve">Enterprise credits remaining (Apr 6)</t>
  </si>
  <si>
    <t xml:space="preserve">Days to renewal (Apr 6 → Jul 29)</t>
  </si>
  <si>
    <t xml:space="preserve">Contract end: Jul 29, 2026</t>
  </si>
  <si>
    <t xml:space="preserve">PRDCCDMAZCEN_001 daily burn</t>
  </si>
  <si>
    <t xml:space="preserve">Capella estimated monthly ÷ 30</t>
  </si>
  <si>
    <t xml:space="preserve">PRDCCDMAZEST2_001 daily burn (DR)</t>
  </si>
  <si>
    <t xml:space="preserve">10% safety buffer</t>
  </si>
  <si>
    <t xml:space="preserve">Scenario A — Production Only (PRDCCDMAZEST2_001 / DR Not Active)</t>
  </si>
  <si>
    <t xml:space="preserve">Daily Burn</t>
  </si>
  <si>
    <t xml:space="preserve">Active</t>
  </si>
  <si>
    <t xml:space="preserve">No top-up needed</t>
  </si>
  <si>
    <t xml:space="preserve">Standby / Not Active</t>
  </si>
  <si>
    <t xml:space="preserve">Credits remaining EXCEED projected need — no top-up required</t>
  </si>
  <si>
    <t xml:space="preserve">Surplus (remaining - credits needed with buffer): remaining 100,730 vs needed ~95,508 → surplus ~5,221 credits</t>
  </si>
  <si>
    <t xml:space="preserve">Scenario B — DR Stood Up (PRDCCDMAZEST2_001 Becomes Active)</t>
  </si>
  <si>
    <t xml:space="preserve">Already running</t>
  </si>
  <si>
    <t xml:space="preserve">Active (DR stood up)</t>
  </si>
  <si>
    <t xml:space="preserve">Top-up required</t>
  </si>
  <si>
    <t xml:space="preserve">Enterprise Top-Up Credits Required (Scenario B, with buffer):</t>
  </si>
  <si>
    <t xml:space="preserve">Buy only when DR is stood up</t>
  </si>
  <si>
    <t xml:space="preserve">Enterprise Bridge Summary</t>
  </si>
  <si>
    <t xml:space="preserve">Scenario</t>
  </si>
  <si>
    <t xml:space="preserve">Credits Available</t>
  </si>
  <si>
    <t xml:space="preserve">Credits Needed (+10%)</t>
  </si>
  <si>
    <t xml:space="preserve">Surplus / Shortfall</t>
  </si>
  <si>
    <t xml:space="preserve">Recommendation</t>
  </si>
  <si>
    <t xml:space="preserve">Scenario A — PRD only (DR standby)</t>
  </si>
  <si>
    <t xml:space="preserve">100,730 remaining</t>
  </si>
  <si>
    <t xml:space="preserve">~88,700 needed</t>
  </si>
  <si>
    <t xml:space="preserve">~12,030 surplus</t>
  </si>
  <si>
    <t xml:space="preserve">No purchase required</t>
  </si>
  <si>
    <t xml:space="preserve">Scenario B — DR active</t>
  </si>
  <si>
    <t xml:space="preserve">~150,600 needed</t>
  </si>
  <si>
    <t xml:space="preserve">~49,900 shortfall</t>
  </si>
  <si>
    <t xml:space="preserve">Buy ~55,000 credits when DR is stood up</t>
  </si>
  <si>
    <t xml:space="preserve">Renewal Credit Strategy — Jul 30, 2026 → Jul 29, 2027</t>
  </si>
  <si>
    <t xml:space="preserve">Based on Capella Estimated Monthly Cost per cluster. 10% buffer applied for growth. Contract end: Jul 29, 2027.</t>
  </si>
  <si>
    <t xml:space="preserve">Buffer Factor:</t>
  </si>
  <si>
    <t xml:space="preserve">Enterprise Plan — Production Clusters (Prepaid)</t>
  </si>
  <si>
    <t xml:space="preserve">Region</t>
  </si>
  <si>
    <t xml:space="preserve">Nodes</t>
  </si>
  <si>
    <t xml:space="preserve">Credits/mo (Est.)</t>
  </si>
  <si>
    <t xml:space="preserve">Annual (×12)</t>
  </si>
  <si>
    <t xml:space="preserve">With Buffer</t>
  </si>
  <si>
    <t xml:space="preserve">PAYG $/year</t>
  </si>
  <si>
    <t xml:space="preserve">Central US (Iowa)</t>
  </si>
  <si>
    <t xml:space="preserve">East US 2 (Virginia)</t>
  </si>
  <si>
    <t xml:space="preserve">ENTERPRISE TOTAL</t>
  </si>
  <si>
    <t xml:space="preserve">Developer Pro Plan — IaaS Dev / QA / UAT (Prepaid, right-sized)</t>
  </si>
  <si>
    <t xml:space="preserve">DEVELOPER PRO TOTAL</t>
  </si>
  <si>
    <t xml:space="preserve">Sandbox — External Vendor Testing (Pay-As-You-Go)</t>
  </si>
  <si>
    <t xml:space="preserve">Usage pattern not yet established. Recommend Pay-As-You-Go to avoid forfeiture of unused prepaid credits at term end.</t>
  </si>
  <si>
    <t xml:space="preserve">TOTAL PREPAID CREDITS TO PROCURE AT RENEWAL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</si>
</sst>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#,##0.00"/>
    <numFmt numFmtId="167" formatCode="\$#,##0"/>
    <numFmt numFmtId="168" formatCode="0.0%"/>
    <numFmt numFmtId="169" formatCode="0%"/>
  </numFmts>
  <fonts count="3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libri"/>
      <family val="0"/>
      <charset val="1"/>
    </font>
    <font>
      <i val="true"/>
      <sz val="9"/>
      <color rgb="FF64748B"/>
      <name val="Calibri"/>
      <family val="0"/>
      <charset val="1"/>
    </font>
    <font>
      <sz val="9"/>
      <color rgb="FF334155"/>
      <name val="Calibri"/>
      <family val="0"/>
      <charset val="1"/>
    </font>
    <font>
      <sz val="9"/>
      <color rgb="FF0000FF"/>
      <name val="Calibri"/>
      <family val="0"/>
      <charset val="1"/>
    </font>
    <font>
      <sz val="9"/>
      <color rgb="FF000000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sz val="10"/>
      <color rgb="FF000000"/>
      <name val="Calibri"/>
      <family val="0"/>
      <charset val="1"/>
    </font>
    <font>
      <sz val="10"/>
      <color rgb="FF0000FF"/>
      <name val="Calibri"/>
      <family val="0"/>
      <charset val="1"/>
    </font>
    <font>
      <b val="true"/>
      <sz val="10"/>
      <color rgb="FFDC2626"/>
      <name val="Calibri"/>
      <family val="0"/>
      <charset val="1"/>
    </font>
    <font>
      <b val="true"/>
      <sz val="10"/>
      <color rgb="FF059669"/>
      <name val="Calibri"/>
      <family val="0"/>
      <charset val="1"/>
    </font>
    <font>
      <sz val="9.5"/>
      <color rgb="FF334155"/>
      <name val="Calibri"/>
      <family val="0"/>
      <charset val="1"/>
    </font>
    <font>
      <sz val="9.5"/>
      <color rgb="FF0000FF"/>
      <name val="Calibri"/>
      <family val="0"/>
      <charset val="1"/>
    </font>
    <font>
      <sz val="9.5"/>
      <color rgb="FF000000"/>
      <name val="Calibri"/>
      <family val="0"/>
      <charset val="1"/>
    </font>
    <font>
      <sz val="10"/>
      <color rgb="FF334155"/>
      <name val="Calibri"/>
      <family val="0"/>
      <charset val="1"/>
    </font>
    <font>
      <b val="true"/>
      <sz val="10"/>
      <color rgb="FF0000FF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0"/>
      <color rgb="FF1B2E4B"/>
      <name val="Calibri"/>
      <family val="0"/>
      <charset val="1"/>
    </font>
    <font>
      <b val="true"/>
      <sz val="11"/>
      <color rgb="FF059669"/>
      <name val="Calibri"/>
      <family val="0"/>
      <charset val="1"/>
    </font>
    <font>
      <i val="true"/>
      <sz val="10"/>
      <color rgb="FF64748B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i val="true"/>
      <sz val="9"/>
      <color rgb="FF059669"/>
      <name val="Calibri"/>
      <family val="0"/>
      <charset val="1"/>
    </font>
    <font>
      <b val="true"/>
      <sz val="10"/>
      <color rgb="FFD97706"/>
      <name val="Calibri"/>
      <family val="0"/>
      <charset val="1"/>
    </font>
    <font>
      <b val="true"/>
      <sz val="11"/>
      <color rgb="FFDC2626"/>
      <name val="Calibri"/>
      <family val="0"/>
      <charset val="1"/>
    </font>
    <font>
      <i val="true"/>
      <sz val="9"/>
      <color rgb="FFD97706"/>
      <name val="Calibri"/>
      <family val="0"/>
      <charset val="1"/>
    </font>
    <font>
      <b val="true"/>
      <sz val="10"/>
      <color rgb="FF334155"/>
      <name val="Calibri"/>
      <family val="0"/>
      <charset val="1"/>
    </font>
    <font>
      <i val="true"/>
      <sz val="10"/>
      <color rgb="FFD97706"/>
      <name val="Calibri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B2E4B"/>
        <bgColor rgb="FF334155"/>
      </patternFill>
    </fill>
    <fill>
      <patternFill patternType="solid">
        <fgColor rgb="FF2A4A72"/>
        <bgColor rgb="FF334155"/>
      </patternFill>
    </fill>
    <fill>
      <patternFill patternType="solid">
        <fgColor rgb="FFFEE2E2"/>
        <bgColor rgb="FFFEF3C7"/>
      </patternFill>
    </fill>
    <fill>
      <patternFill patternType="solid">
        <fgColor rgb="FFD1FAE5"/>
        <bgColor rgb="FFDBEAFE"/>
      </patternFill>
    </fill>
    <fill>
      <patternFill patternType="solid">
        <fgColor rgb="FFFEF3C7"/>
        <bgColor rgb="FFFEE2E2"/>
      </patternFill>
    </fill>
    <fill>
      <patternFill patternType="solid">
        <fgColor rgb="FF334155"/>
        <bgColor rgb="FF2A4A72"/>
      </patternFill>
    </fill>
    <fill>
      <patternFill patternType="solid">
        <fgColor rgb="FFF8FAFC"/>
        <bgColor rgb="FFFFFFFF"/>
      </patternFill>
    </fill>
    <fill>
      <patternFill patternType="solid">
        <fgColor rgb="FFD97706"/>
        <bgColor rgb="FFFF9900"/>
      </patternFill>
    </fill>
    <fill>
      <patternFill patternType="solid">
        <fgColor rgb="FF059669"/>
        <bgColor rgb="FF008080"/>
      </patternFill>
    </fill>
    <fill>
      <patternFill patternType="solid">
        <fgColor rgb="FFDBEAFE"/>
        <bgColor rgb="FFD1FAE5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/>
      <top style="thin">
        <color rgb="FFCBD5E1"/>
      </top>
      <bottom style="thin">
        <color rgb="FFCBD5E1"/>
      </bottom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6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6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6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9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9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0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0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2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4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9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0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9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9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0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59669"/>
      <rgbColor rgb="FFC0C0C0"/>
      <rgbColor rgb="FF808080"/>
      <rgbColor rgb="FF9999FF"/>
      <rgbColor rgb="FF993366"/>
      <rgbColor rgb="FFFEF3C7"/>
      <rgbColor rgb="FFDBEAFE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8FAFC"/>
      <rgbColor rgb="FFD1FAE5"/>
      <rgbColor rgb="FFFFFF99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D97706"/>
      <rgbColor rgb="FF64748B"/>
      <rgbColor rgb="FF969696"/>
      <rgbColor rgb="FF1B2E4B"/>
      <rgbColor rgb="FF339966"/>
      <rgbColor rgb="FF003300"/>
      <rgbColor rgb="FF333300"/>
      <rgbColor rgb="FF993300"/>
      <rgbColor rgb="FF993366"/>
      <rgbColor rgb="FF2A4A72"/>
      <rgbColor rgb="FF3341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4" min="4" style="1" width="7"/>
    <col collapsed="false" customWidth="true" hidden="false" outlineLevel="0" max="7" min="5" style="1" width="16"/>
    <col collapsed="false" customWidth="true" hidden="false" outlineLevel="0" max="8" min="8" style="1" width="20"/>
    <col collapsed="false" customWidth="true" hidden="false" outlineLevel="0" max="9" min="9" style="1" width="18"/>
    <col collapsed="false" customWidth="true" hidden="false" outlineLevel="0" max="10" min="10" style="1" width="14"/>
    <col collapsed="false" customWidth="true" hidden="false" outlineLevel="0" max="11" min="11" style="1" width="16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5.75" hidden="false" customHeight="true" outlineLevel="0" collapsed="false">
      <c r="A2" s="3" t="s">
        <v>1</v>
      </c>
    </row>
    <row r="3" customFormat="false" ht="13.5" hidden="false" customHeight="true" outlineLevel="0" collapsed="false">
      <c r="A3" s="4" t="s">
        <v>2</v>
      </c>
      <c r="B3" s="5" t="s">
        <v>3</v>
      </c>
      <c r="C3" s="6" t="s">
        <v>4</v>
      </c>
    </row>
    <row r="5" customFormat="false" ht="19.5" hidden="false" customHeight="true" outlineLevel="0" collapsed="false">
      <c r="A5" s="7" t="s">
        <v>5</v>
      </c>
      <c r="B5" s="7"/>
      <c r="C5" s="7"/>
      <c r="D5" s="7"/>
      <c r="E5" s="7"/>
      <c r="F5" s="7"/>
    </row>
    <row r="6" customFormat="false" ht="30" hidden="false" customHeight="true" outlineLevel="0" collapsed="false">
      <c r="A6" s="8" t="s">
        <v>6</v>
      </c>
      <c r="B6" s="9" t="s">
        <v>7</v>
      </c>
      <c r="C6" s="9" t="s">
        <v>8</v>
      </c>
      <c r="D6" s="9" t="s">
        <v>9</v>
      </c>
      <c r="E6" s="9" t="s">
        <v>10</v>
      </c>
      <c r="F6" s="9" t="s">
        <v>11</v>
      </c>
    </row>
    <row r="7" customFormat="false" ht="18" hidden="false" customHeight="true" outlineLevel="0" collapsed="false">
      <c r="A7" s="10" t="s">
        <v>12</v>
      </c>
      <c r="B7" s="11" t="s">
        <v>13</v>
      </c>
      <c r="C7" s="11" t="s">
        <v>14</v>
      </c>
      <c r="D7" s="12" t="n">
        <v>312105</v>
      </c>
      <c r="E7" s="12" t="n">
        <v>299542</v>
      </c>
      <c r="F7" s="13" t="n">
        <f aca="false">D7-E7</f>
        <v>12563</v>
      </c>
    </row>
    <row r="8" customFormat="false" ht="18" hidden="false" customHeight="true" outlineLevel="0" collapsed="false">
      <c r="A8" s="10" t="s">
        <v>15</v>
      </c>
      <c r="B8" s="11" t="s">
        <v>13</v>
      </c>
      <c r="C8" s="11" t="s">
        <v>14</v>
      </c>
      <c r="D8" s="12" t="n">
        <v>104035</v>
      </c>
      <c r="E8" s="12" t="n">
        <v>50877</v>
      </c>
      <c r="F8" s="14" t="n">
        <f aca="false">D8-E8</f>
        <v>53158</v>
      </c>
    </row>
    <row r="9" customFormat="false" ht="6" hidden="false" customHeight="true" outlineLevel="0" collapsed="false"/>
    <row r="10" customFormat="false" ht="19.5" hidden="false" customHeight="true" outlineLevel="0" collapsed="false">
      <c r="A10" s="7" t="s">
        <v>16</v>
      </c>
      <c r="B10" s="7"/>
      <c r="C10" s="7"/>
      <c r="D10" s="7"/>
      <c r="E10" s="7"/>
      <c r="F10" s="7"/>
      <c r="G10" s="7"/>
      <c r="H10" s="7"/>
      <c r="I10" s="7"/>
      <c r="J10" s="7"/>
      <c r="K10" s="7"/>
    </row>
    <row r="11" customFormat="false" ht="36" hidden="false" customHeight="true" outlineLevel="0" collapsed="false">
      <c r="A11" s="8" t="s">
        <v>17</v>
      </c>
      <c r="B11" s="9" t="s">
        <v>6</v>
      </c>
      <c r="C11" s="9" t="s">
        <v>18</v>
      </c>
      <c r="D11" s="9" t="s">
        <v>19</v>
      </c>
      <c r="E11" s="9" t="s">
        <v>20</v>
      </c>
      <c r="F11" s="9" t="s">
        <v>21</v>
      </c>
      <c r="G11" s="9" t="s">
        <v>22</v>
      </c>
      <c r="H11" s="9" t="s">
        <v>23</v>
      </c>
      <c r="I11" s="9" t="s">
        <v>24</v>
      </c>
      <c r="J11" s="9" t="s">
        <v>25</v>
      </c>
      <c r="K11" s="9" t="s">
        <v>26</v>
      </c>
    </row>
    <row r="12" customFormat="false" ht="18" hidden="false" customHeight="true" outlineLevel="0" collapsed="false">
      <c r="A12" s="15" t="s">
        <v>27</v>
      </c>
      <c r="B12" s="16" t="s">
        <v>15</v>
      </c>
      <c r="C12" s="16" t="s">
        <v>28</v>
      </c>
      <c r="D12" s="16" t="s">
        <v>29</v>
      </c>
      <c r="E12" s="16" t="s">
        <v>30</v>
      </c>
      <c r="F12" s="17" t="n">
        <v>19038</v>
      </c>
      <c r="G12" s="18" t="n">
        <f aca="false">F12/26</f>
        <v>732.230769230769</v>
      </c>
      <c r="H12" s="17" t="n">
        <v>22849.26</v>
      </c>
      <c r="I12" s="18" t="n">
        <f aca="false">H12/30</f>
        <v>761.642</v>
      </c>
      <c r="J12" s="19" t="n">
        <v>39988.8</v>
      </c>
      <c r="K12" s="16" t="s">
        <v>30</v>
      </c>
    </row>
    <row r="13" customFormat="false" ht="18" hidden="false" customHeight="true" outlineLevel="0" collapsed="false">
      <c r="A13" s="15" t="s">
        <v>31</v>
      </c>
      <c r="B13" s="16" t="s">
        <v>15</v>
      </c>
      <c r="C13" s="16" t="s">
        <v>32</v>
      </c>
      <c r="D13" s="16" t="s">
        <v>29</v>
      </c>
      <c r="E13" s="16" t="s">
        <v>30</v>
      </c>
      <c r="F13" s="17" t="n">
        <v>6705</v>
      </c>
      <c r="G13" s="18" t="n">
        <f aca="false">F13/26</f>
        <v>257.884615384615</v>
      </c>
      <c r="H13" s="17" t="n">
        <v>16782.25</v>
      </c>
      <c r="I13" s="18" t="n">
        <f aca="false">H13/30</f>
        <v>559.408333333333</v>
      </c>
      <c r="J13" s="19" t="n">
        <v>29368.8</v>
      </c>
      <c r="K13" s="16" t="s">
        <v>30</v>
      </c>
    </row>
    <row r="14" customFormat="false" ht="18" hidden="false" customHeight="true" outlineLevel="0" collapsed="false">
      <c r="A14" s="15" t="s">
        <v>33</v>
      </c>
      <c r="B14" s="16" t="s">
        <v>12</v>
      </c>
      <c r="C14" s="16" t="s">
        <v>34</v>
      </c>
      <c r="D14" s="16" t="s">
        <v>29</v>
      </c>
      <c r="E14" s="16" t="s">
        <v>30</v>
      </c>
      <c r="F14" s="17" t="n">
        <v>829</v>
      </c>
      <c r="G14" s="18" t="n">
        <f aca="false">F14/26</f>
        <v>31.8846153846154</v>
      </c>
      <c r="H14" s="17" t="n">
        <v>4760.94</v>
      </c>
      <c r="I14" s="18" t="n">
        <f aca="false">H14/30</f>
        <v>158.698</v>
      </c>
      <c r="J14" s="19" t="n">
        <v>5954.4</v>
      </c>
      <c r="K14" s="16" t="s">
        <v>30</v>
      </c>
    </row>
    <row r="15" customFormat="false" ht="18" hidden="false" customHeight="true" outlineLevel="0" collapsed="false">
      <c r="A15" s="15" t="s">
        <v>35</v>
      </c>
      <c r="B15" s="16" t="s">
        <v>12</v>
      </c>
      <c r="C15" s="16" t="s">
        <v>36</v>
      </c>
      <c r="D15" s="16" t="s">
        <v>29</v>
      </c>
      <c r="E15" s="16" t="s">
        <v>30</v>
      </c>
      <c r="F15" s="17" t="n">
        <v>640</v>
      </c>
      <c r="G15" s="18" t="n">
        <f aca="false">F15/26</f>
        <v>24.6153846153846</v>
      </c>
      <c r="H15" s="17" t="n">
        <v>7053.03</v>
      </c>
      <c r="I15" s="18" t="n">
        <f aca="false">H15/30</f>
        <v>235.101</v>
      </c>
      <c r="J15" s="19" t="n">
        <v>8812.8</v>
      </c>
      <c r="K15" s="16" t="s">
        <v>30</v>
      </c>
    </row>
    <row r="16" customFormat="false" ht="18" hidden="false" customHeight="true" outlineLevel="0" collapsed="false">
      <c r="A16" s="15" t="s">
        <v>37</v>
      </c>
      <c r="B16" s="16" t="s">
        <v>12</v>
      </c>
      <c r="C16" s="16" t="s">
        <v>38</v>
      </c>
      <c r="D16" s="16" t="s">
        <v>29</v>
      </c>
      <c r="E16" s="16" t="s">
        <v>30</v>
      </c>
      <c r="F16" s="17" t="n">
        <v>2903</v>
      </c>
      <c r="G16" s="18" t="n">
        <f aca="false">F16/26</f>
        <v>111.653846153846</v>
      </c>
      <c r="H16" s="17" t="n">
        <v>13570.98</v>
      </c>
      <c r="I16" s="18" t="n">
        <f aca="false">H16/30</f>
        <v>452.366</v>
      </c>
      <c r="J16" s="19" t="n">
        <v>16963.2</v>
      </c>
      <c r="K16" s="16" t="s">
        <v>30</v>
      </c>
    </row>
    <row r="17" customFormat="false" ht="18" hidden="false" customHeight="true" outlineLevel="0" collapsed="false">
      <c r="A17" s="20" t="s">
        <v>39</v>
      </c>
      <c r="B17" s="21" t="s">
        <v>12</v>
      </c>
      <c r="C17" s="21" t="s">
        <v>40</v>
      </c>
      <c r="D17" s="21" t="s">
        <v>41</v>
      </c>
      <c r="E17" s="21" t="s">
        <v>42</v>
      </c>
      <c r="F17" s="22" t="n">
        <v>12346</v>
      </c>
      <c r="G17" s="23" t="n">
        <f aca="false">F17/26</f>
        <v>474.846153846154</v>
      </c>
      <c r="H17" s="21" t="s">
        <v>43</v>
      </c>
      <c r="I17" s="21" t="s">
        <v>43</v>
      </c>
      <c r="J17" s="21" t="s">
        <v>43</v>
      </c>
      <c r="K17" s="21" t="s">
        <v>42</v>
      </c>
    </row>
    <row r="18" customFormat="false" ht="18" hidden="false" customHeight="true" outlineLevel="0" collapsed="false">
      <c r="A18" s="24" t="s">
        <v>44</v>
      </c>
      <c r="B18" s="25" t="s">
        <v>12</v>
      </c>
      <c r="C18" s="25" t="s">
        <v>45</v>
      </c>
      <c r="D18" s="25" t="s">
        <v>41</v>
      </c>
      <c r="E18" s="25" t="s">
        <v>46</v>
      </c>
      <c r="F18" s="26" t="n">
        <v>8414</v>
      </c>
      <c r="G18" s="27" t="n">
        <f aca="false">F18/26</f>
        <v>323.615384615385</v>
      </c>
      <c r="H18" s="25" t="s">
        <v>43</v>
      </c>
      <c r="I18" s="25" t="s">
        <v>43</v>
      </c>
      <c r="J18" s="25" t="s">
        <v>43</v>
      </c>
      <c r="K18" s="25" t="s">
        <v>46</v>
      </c>
    </row>
    <row r="19" customFormat="false" ht="18" hidden="false" customHeight="true" outlineLevel="0" collapsed="false">
      <c r="A19" s="24" t="s">
        <v>47</v>
      </c>
      <c r="B19" s="25" t="s">
        <v>12</v>
      </c>
      <c r="C19" s="25" t="s">
        <v>48</v>
      </c>
      <c r="D19" s="25" t="s">
        <v>41</v>
      </c>
      <c r="E19" s="25" t="s">
        <v>46</v>
      </c>
      <c r="F19" s="26" t="n">
        <v>1280</v>
      </c>
      <c r="G19" s="27" t="n">
        <f aca="false">F19/26</f>
        <v>49.2307692307692</v>
      </c>
      <c r="H19" s="25" t="s">
        <v>43</v>
      </c>
      <c r="I19" s="25" t="s">
        <v>43</v>
      </c>
      <c r="J19" s="25" t="s">
        <v>43</v>
      </c>
      <c r="K19" s="25" t="s">
        <v>46</v>
      </c>
    </row>
    <row r="20" customFormat="false" ht="18" hidden="false" customHeight="true" outlineLevel="0" collapsed="false">
      <c r="A20" s="24" t="s">
        <v>49</v>
      </c>
      <c r="B20" s="25" t="s">
        <v>12</v>
      </c>
      <c r="C20" s="25" t="s">
        <v>48</v>
      </c>
      <c r="D20" s="25" t="s">
        <v>41</v>
      </c>
      <c r="E20" s="25" t="s">
        <v>46</v>
      </c>
      <c r="F20" s="26" t="n">
        <v>551</v>
      </c>
      <c r="G20" s="27" t="n">
        <f aca="false">F20/26</f>
        <v>21.1923076923077</v>
      </c>
      <c r="H20" s="25" t="s">
        <v>43</v>
      </c>
      <c r="I20" s="25" t="s">
        <v>43</v>
      </c>
      <c r="J20" s="25" t="s">
        <v>43</v>
      </c>
      <c r="K20" s="25" t="s">
        <v>46</v>
      </c>
    </row>
  </sheetData>
  <mergeCells count="3">
    <mergeCell ref="A1:K1"/>
    <mergeCell ref="A5:F5"/>
    <mergeCell ref="A10:K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4"/>
    <col collapsed="false" customWidth="true" hidden="false" outlineLevel="0" max="3" min="3" style="1" width="20"/>
    <col collapsed="false" customWidth="true" hidden="false" outlineLevel="0" max="4" min="4" style="1" width="18"/>
    <col collapsed="false" customWidth="true" hidden="false" outlineLevel="0" max="5" min="5" style="1" width="8"/>
    <col collapsed="false" customWidth="true" hidden="false" outlineLevel="0" max="7" min="6" style="1" width="18"/>
  </cols>
  <sheetData>
    <row r="1" customFormat="false" ht="30" hidden="false" customHeight="true" outlineLevel="0" collapsed="false">
      <c r="A1" s="2" t="s">
        <v>50</v>
      </c>
      <c r="B1" s="2"/>
      <c r="C1" s="2"/>
      <c r="D1" s="2"/>
      <c r="E1" s="2"/>
      <c r="F1" s="2"/>
      <c r="G1" s="2"/>
      <c r="H1" s="2"/>
    </row>
    <row r="2" customFormat="false" ht="13.5" hidden="false" customHeight="true" outlineLevel="0" collapsed="false">
      <c r="A2" s="28" t="s">
        <v>51</v>
      </c>
    </row>
    <row r="4" customFormat="false" ht="19.5" hidden="false" customHeight="true" outlineLevel="0" collapsed="false">
      <c r="A4" s="29" t="s">
        <v>52</v>
      </c>
      <c r="B4" s="29"/>
      <c r="C4" s="29"/>
      <c r="D4" s="29"/>
    </row>
    <row r="5" customFormat="false" ht="19.5" hidden="false" customHeight="true" outlineLevel="0" collapsed="false">
      <c r="A5" s="8" t="s">
        <v>53</v>
      </c>
      <c r="B5" s="9" t="s">
        <v>54</v>
      </c>
      <c r="C5" s="9" t="s">
        <v>55</v>
      </c>
    </row>
    <row r="6" customFormat="false" ht="18" hidden="false" customHeight="true" outlineLevel="0" collapsed="false">
      <c r="A6" s="30" t="s">
        <v>56</v>
      </c>
      <c r="B6" s="31" t="n">
        <v>12563</v>
      </c>
      <c r="C6" s="32" t="s">
        <v>57</v>
      </c>
    </row>
    <row r="7" customFormat="false" ht="18" hidden="false" customHeight="true" outlineLevel="0" collapsed="false">
      <c r="A7" s="30" t="s">
        <v>58</v>
      </c>
      <c r="B7" s="33" t="s">
        <v>59</v>
      </c>
      <c r="C7" s="32" t="s">
        <v>60</v>
      </c>
    </row>
    <row r="8" customFormat="false" ht="18" hidden="false" customHeight="true" outlineLevel="0" collapsed="false">
      <c r="A8" s="30" t="s">
        <v>61</v>
      </c>
      <c r="B8" s="31" t="n">
        <v>103</v>
      </c>
      <c r="C8" s="32" t="s">
        <v>62</v>
      </c>
    </row>
    <row r="9" customFormat="false" ht="18" hidden="false" customHeight="true" outlineLevel="0" collapsed="false">
      <c r="A9" s="30" t="s">
        <v>63</v>
      </c>
      <c r="B9" s="34" t="n">
        <v>0.1</v>
      </c>
      <c r="C9" s="32" t="s">
        <v>64</v>
      </c>
    </row>
    <row r="10" customFormat="false" ht="7.5" hidden="false" customHeight="true" outlineLevel="0" collapsed="false"/>
    <row r="11" customFormat="false" ht="19.5" hidden="false" customHeight="true" outlineLevel="0" collapsed="false">
      <c r="A11" s="35" t="s">
        <v>65</v>
      </c>
      <c r="B11" s="35"/>
      <c r="C11" s="35"/>
      <c r="D11" s="35"/>
      <c r="E11" s="35"/>
      <c r="F11" s="35"/>
      <c r="G11" s="35"/>
    </row>
    <row r="12" customFormat="false" ht="30" hidden="false" customHeight="true" outlineLevel="0" collapsed="false">
      <c r="A12" s="9" t="s">
        <v>17</v>
      </c>
      <c r="B12" s="9" t="s">
        <v>6</v>
      </c>
      <c r="C12" s="9" t="s">
        <v>20</v>
      </c>
      <c r="D12" s="9" t="s">
        <v>66</v>
      </c>
      <c r="E12" s="9" t="s">
        <v>67</v>
      </c>
      <c r="F12" s="9" t="s">
        <v>68</v>
      </c>
      <c r="G12" s="9" t="s">
        <v>69</v>
      </c>
    </row>
    <row r="13" customFormat="false" ht="18" hidden="false" customHeight="true" outlineLevel="0" collapsed="false">
      <c r="A13" s="36" t="s">
        <v>39</v>
      </c>
      <c r="B13" s="37" t="s">
        <v>12</v>
      </c>
      <c r="C13" s="37" t="s">
        <v>70</v>
      </c>
      <c r="D13" s="38" t="n">
        <f aca="false">12346/31</f>
        <v>398.258064516129</v>
      </c>
      <c r="E13" s="39" t="n">
        <v>103</v>
      </c>
      <c r="F13" s="40" t="n">
        <f aca="false">D13*E13</f>
        <v>41020.5806451613</v>
      </c>
      <c r="G13" s="40" t="n">
        <f aca="false">F13*(1+$B$9)</f>
        <v>45122.6387096774</v>
      </c>
    </row>
    <row r="14" customFormat="false" ht="18" hidden="false" customHeight="true" outlineLevel="0" collapsed="false">
      <c r="A14" s="36" t="s">
        <v>33</v>
      </c>
      <c r="B14" s="37" t="s">
        <v>12</v>
      </c>
      <c r="C14" s="37" t="s">
        <v>71</v>
      </c>
      <c r="D14" s="38" t="n">
        <f aca="false">829/26</f>
        <v>31.8846153846154</v>
      </c>
      <c r="E14" s="39" t="n">
        <v>103</v>
      </c>
      <c r="F14" s="40" t="n">
        <f aca="false">D14*E14</f>
        <v>3284.11538461538</v>
      </c>
      <c r="G14" s="40" t="n">
        <f aca="false">F14*(1+$B$9)</f>
        <v>3612.52692307692</v>
      </c>
    </row>
    <row r="15" customFormat="false" ht="18" hidden="false" customHeight="true" outlineLevel="0" collapsed="false">
      <c r="A15" s="36" t="s">
        <v>35</v>
      </c>
      <c r="B15" s="37" t="s">
        <v>12</v>
      </c>
      <c r="C15" s="37" t="s">
        <v>71</v>
      </c>
      <c r="D15" s="38" t="n">
        <f aca="false">640/26</f>
        <v>24.6153846153846</v>
      </c>
      <c r="E15" s="39" t="n">
        <v>103</v>
      </c>
      <c r="F15" s="40" t="n">
        <f aca="false">D15*E15</f>
        <v>2535.38461538462</v>
      </c>
      <c r="G15" s="40" t="n">
        <f aca="false">F15*(1+$B$9)</f>
        <v>2788.92307692308</v>
      </c>
    </row>
    <row r="16" customFormat="false" ht="18" hidden="false" customHeight="true" outlineLevel="0" collapsed="false">
      <c r="A16" s="36" t="s">
        <v>37</v>
      </c>
      <c r="B16" s="37" t="s">
        <v>12</v>
      </c>
      <c r="C16" s="37" t="s">
        <v>71</v>
      </c>
      <c r="D16" s="38" t="n">
        <f aca="false">2903/26</f>
        <v>111.653846153846</v>
      </c>
      <c r="E16" s="39" t="n">
        <v>103</v>
      </c>
      <c r="F16" s="40" t="n">
        <f aca="false">D16*E16</f>
        <v>11500.3461538462</v>
      </c>
      <c r="G16" s="40" t="n">
        <f aca="false">F16*(1+$B$9)</f>
        <v>12650.3807692308</v>
      </c>
    </row>
    <row r="17" customFormat="false" ht="19.5" hidden="false" customHeight="true" outlineLevel="0" collapsed="false">
      <c r="A17" s="41" t="s">
        <v>72</v>
      </c>
      <c r="B17" s="42"/>
      <c r="C17" s="42"/>
      <c r="D17" s="43" t="n">
        <f aca="false">SUM(D13:D16)</f>
        <v>566.411910669975</v>
      </c>
      <c r="E17" s="42"/>
      <c r="F17" s="43" t="n">
        <f aca="false">SUM(F13:F16)</f>
        <v>58340.4267990074</v>
      </c>
      <c r="G17" s="43" t="n">
        <f aca="false">SUM(G13:G16)</f>
        <v>64174.4694789082</v>
      </c>
    </row>
    <row r="18" customFormat="false" ht="7.5" hidden="false" customHeight="true" outlineLevel="0" collapsed="false"/>
    <row r="19" customFormat="false" ht="19.5" hidden="false" customHeight="true" outlineLevel="0" collapsed="false">
      <c r="A19" s="44" t="s">
        <v>73</v>
      </c>
      <c r="B19" s="44"/>
      <c r="C19" s="44"/>
      <c r="D19" s="44"/>
      <c r="E19" s="44"/>
      <c r="F19" s="44"/>
      <c r="G19" s="44"/>
    </row>
    <row r="20" customFormat="false" ht="30" hidden="false" customHeight="true" outlineLevel="0" collapsed="false">
      <c r="A20" s="9" t="s">
        <v>17</v>
      </c>
      <c r="B20" s="9" t="s">
        <v>6</v>
      </c>
      <c r="C20" s="9" t="s">
        <v>20</v>
      </c>
      <c r="D20" s="9" t="s">
        <v>66</v>
      </c>
      <c r="E20" s="9" t="s">
        <v>67</v>
      </c>
      <c r="F20" s="9" t="s">
        <v>68</v>
      </c>
      <c r="G20" s="9" t="s">
        <v>69</v>
      </c>
    </row>
    <row r="21" customFormat="false" ht="18" hidden="false" customHeight="true" outlineLevel="0" collapsed="false">
      <c r="A21" s="45" t="s">
        <v>39</v>
      </c>
      <c r="B21" s="46" t="s">
        <v>12</v>
      </c>
      <c r="C21" s="46" t="s">
        <v>70</v>
      </c>
      <c r="D21" s="47" t="n">
        <f aca="false">12346/31</f>
        <v>398.258064516129</v>
      </c>
      <c r="E21" s="48" t="n">
        <v>103</v>
      </c>
      <c r="F21" s="49" t="n">
        <f aca="false">D21*E21</f>
        <v>41020.5806451613</v>
      </c>
      <c r="G21" s="49" t="n">
        <f aca="false">F21*(1+$B$9)</f>
        <v>45122.6387096774</v>
      </c>
    </row>
    <row r="22" customFormat="false" ht="18" hidden="false" customHeight="true" outlineLevel="0" collapsed="false">
      <c r="A22" s="45" t="s">
        <v>33</v>
      </c>
      <c r="B22" s="46" t="s">
        <v>12</v>
      </c>
      <c r="C22" s="46" t="s">
        <v>71</v>
      </c>
      <c r="D22" s="47" t="n">
        <f aca="false">829/26</f>
        <v>31.8846153846154</v>
      </c>
      <c r="E22" s="48" t="n">
        <v>103</v>
      </c>
      <c r="F22" s="49" t="n">
        <f aca="false">D22*E22</f>
        <v>3284.11538461538</v>
      </c>
      <c r="G22" s="49" t="n">
        <f aca="false">F22*(1+$B$9)</f>
        <v>3612.52692307692</v>
      </c>
    </row>
    <row r="23" customFormat="false" ht="18" hidden="false" customHeight="true" outlineLevel="0" collapsed="false">
      <c r="A23" s="45" t="s">
        <v>35</v>
      </c>
      <c r="B23" s="46" t="s">
        <v>12</v>
      </c>
      <c r="C23" s="46" t="s">
        <v>71</v>
      </c>
      <c r="D23" s="47" t="n">
        <f aca="false">640/26</f>
        <v>24.6153846153846</v>
      </c>
      <c r="E23" s="48" t="n">
        <v>103</v>
      </c>
      <c r="F23" s="49" t="n">
        <f aca="false">D23*E23</f>
        <v>2535.38461538462</v>
      </c>
      <c r="G23" s="49" t="n">
        <f aca="false">F23*(1+$B$9)</f>
        <v>2788.92307692308</v>
      </c>
    </row>
    <row r="24" customFormat="false" ht="18" hidden="false" customHeight="true" outlineLevel="0" collapsed="false">
      <c r="A24" s="45" t="s">
        <v>37</v>
      </c>
      <c r="B24" s="46" t="s">
        <v>12</v>
      </c>
      <c r="C24" s="46" t="s">
        <v>71</v>
      </c>
      <c r="D24" s="47" t="n">
        <f aca="false">2903/26</f>
        <v>111.653846153846</v>
      </c>
      <c r="E24" s="48" t="n">
        <v>103</v>
      </c>
      <c r="F24" s="49" t="n">
        <f aca="false">D24*E24</f>
        <v>11500.3461538462</v>
      </c>
      <c r="G24" s="49" t="n">
        <f aca="false">F24*(1+$B$9)</f>
        <v>12650.3807692308</v>
      </c>
    </row>
    <row r="25" customFormat="false" ht="19.5" hidden="false" customHeight="true" outlineLevel="0" collapsed="false">
      <c r="A25" s="50" t="s">
        <v>74</v>
      </c>
      <c r="B25" s="51"/>
      <c r="C25" s="51"/>
      <c r="D25" s="52" t="n">
        <f aca="false">SUM(D21:D24)</f>
        <v>566.411910669975</v>
      </c>
      <c r="E25" s="51"/>
      <c r="F25" s="52" t="n">
        <f aca="false">SUM(F21:F24)</f>
        <v>58340.4267990074</v>
      </c>
      <c r="G25" s="52" t="n">
        <f aca="false">SUM(G21:G24)</f>
        <v>64174.4694789082</v>
      </c>
    </row>
    <row r="27" customFormat="false" ht="21.75" hidden="false" customHeight="true" outlineLevel="0" collapsed="false">
      <c r="A27" s="53" t="s">
        <v>75</v>
      </c>
      <c r="B27" s="53"/>
      <c r="C27" s="53"/>
      <c r="D27" s="53"/>
      <c r="E27" s="53"/>
      <c r="G27" s="54" t="n">
        <f aca="false">G17-G25</f>
        <v>0</v>
      </c>
    </row>
  </sheetData>
  <mergeCells count="5">
    <mergeCell ref="A1:H1"/>
    <mergeCell ref="A4:D4"/>
    <mergeCell ref="A11:G11"/>
    <mergeCell ref="A19:G19"/>
    <mergeCell ref="A27:E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  <col collapsed="false" customWidth="true" hidden="false" outlineLevel="0" max="3" min="3" style="0" width="22"/>
    <col collapsed="false" customWidth="true" hidden="false" outlineLevel="0" max="4" min="4" style="0" width="18"/>
    <col collapsed="false" customWidth="true" hidden="false" outlineLevel="0" max="5" min="5" style="0" width="8"/>
    <col collapsed="false" customWidth="true" hidden="false" outlineLevel="0" max="7" min="6" style="0" width="16"/>
    <col collapsed="false" customWidth="true" hidden="false" outlineLevel="0" max="8" min="8" style="0" width="28"/>
  </cols>
  <sheetData>
    <row r="1" customFormat="false" ht="30" hidden="false" customHeight="true" outlineLevel="0" collapsed="false">
      <c r="A1" s="2" t="s">
        <v>76</v>
      </c>
      <c r="B1" s="2"/>
      <c r="C1" s="2"/>
      <c r="D1" s="2"/>
      <c r="E1" s="2"/>
      <c r="F1" s="2"/>
      <c r="G1" s="2"/>
      <c r="H1" s="2"/>
    </row>
    <row r="2" customFormat="false" ht="15.75" hidden="false" customHeight="true" outlineLevel="0" collapsed="false">
      <c r="A2" s="3" t="s">
        <v>77</v>
      </c>
    </row>
    <row r="4" customFormat="false" ht="19.5" hidden="false" customHeight="true" outlineLevel="0" collapsed="false">
      <c r="A4" s="29" t="s">
        <v>52</v>
      </c>
      <c r="B4" s="29"/>
      <c r="C4" s="29"/>
      <c r="D4" s="29"/>
    </row>
    <row r="5" customFormat="false" ht="19.5" hidden="false" customHeight="true" outlineLevel="0" collapsed="false">
      <c r="A5" s="8" t="s">
        <v>53</v>
      </c>
      <c r="B5" s="9" t="s">
        <v>54</v>
      </c>
      <c r="C5" s="9" t="s">
        <v>55</v>
      </c>
    </row>
    <row r="6" customFormat="false" ht="18" hidden="false" customHeight="true" outlineLevel="0" collapsed="false">
      <c r="A6" s="30" t="s">
        <v>78</v>
      </c>
      <c r="B6" s="31" t="n">
        <v>100730</v>
      </c>
      <c r="C6" s="55" t="s">
        <v>57</v>
      </c>
    </row>
    <row r="7" customFormat="false" ht="18" hidden="false" customHeight="true" outlineLevel="0" collapsed="false">
      <c r="A7" s="30" t="s">
        <v>79</v>
      </c>
      <c r="B7" s="31" t="n">
        <v>114</v>
      </c>
      <c r="C7" s="55" t="s">
        <v>80</v>
      </c>
    </row>
    <row r="8" customFormat="false" ht="18" hidden="false" customHeight="true" outlineLevel="0" collapsed="false">
      <c r="A8" s="30" t="s">
        <v>81</v>
      </c>
      <c r="B8" s="56" t="n">
        <f aca="false">22849/30</f>
        <v>761.633333333333</v>
      </c>
      <c r="C8" s="55" t="s">
        <v>82</v>
      </c>
    </row>
    <row r="9" customFormat="false" ht="18" hidden="false" customHeight="true" outlineLevel="0" collapsed="false">
      <c r="A9" s="30" t="s">
        <v>83</v>
      </c>
      <c r="B9" s="56" t="n">
        <f aca="false">16782/30</f>
        <v>559.4</v>
      </c>
      <c r="C9" s="55" t="s">
        <v>82</v>
      </c>
    </row>
    <row r="10" customFormat="false" ht="18" hidden="false" customHeight="true" outlineLevel="0" collapsed="false">
      <c r="A10" s="30" t="s">
        <v>63</v>
      </c>
      <c r="B10" s="57" t="n">
        <v>0.1</v>
      </c>
      <c r="C10" s="55" t="s">
        <v>84</v>
      </c>
    </row>
    <row r="11" customFormat="false" ht="7.5" hidden="false" customHeight="true" outlineLevel="0" collapsed="false"/>
    <row r="12" customFormat="false" ht="19.5" hidden="false" customHeight="true" outlineLevel="0" collapsed="false">
      <c r="A12" s="44" t="s">
        <v>85</v>
      </c>
      <c r="B12" s="44"/>
      <c r="C12" s="44"/>
      <c r="D12" s="44"/>
      <c r="E12" s="44"/>
      <c r="F12" s="44"/>
      <c r="G12" s="44"/>
      <c r="H12" s="44"/>
    </row>
    <row r="13" customFormat="false" ht="30" hidden="false" customHeight="true" outlineLevel="0" collapsed="false">
      <c r="A13" s="9" t="s">
        <v>17</v>
      </c>
      <c r="B13" s="9" t="s">
        <v>6</v>
      </c>
      <c r="C13" s="9" t="s">
        <v>20</v>
      </c>
      <c r="D13" s="9" t="s">
        <v>86</v>
      </c>
      <c r="E13" s="9" t="s">
        <v>67</v>
      </c>
      <c r="F13" s="9" t="s">
        <v>68</v>
      </c>
      <c r="G13" s="9" t="s">
        <v>69</v>
      </c>
      <c r="H13" s="9" t="s">
        <v>26</v>
      </c>
    </row>
    <row r="14" customFormat="false" ht="18" hidden="false" customHeight="true" outlineLevel="0" collapsed="false">
      <c r="A14" s="45" t="s">
        <v>27</v>
      </c>
      <c r="B14" s="46" t="s">
        <v>15</v>
      </c>
      <c r="C14" s="58" t="s">
        <v>87</v>
      </c>
      <c r="D14" s="47" t="n">
        <f aca="false">B8</f>
        <v>761.633333333333</v>
      </c>
      <c r="E14" s="59" t="n">
        <v>114</v>
      </c>
      <c r="F14" s="49" t="n">
        <f aca="false">D14*E14</f>
        <v>86826.2</v>
      </c>
      <c r="G14" s="49" t="n">
        <f aca="false">F14*(1+$B$10)</f>
        <v>95508.82</v>
      </c>
      <c r="H14" s="58" t="s">
        <v>88</v>
      </c>
    </row>
    <row r="15" customFormat="false" ht="18" hidden="false" customHeight="true" outlineLevel="0" collapsed="false">
      <c r="A15" s="60" t="s">
        <v>31</v>
      </c>
      <c r="B15" s="61" t="s">
        <v>15</v>
      </c>
      <c r="C15" s="61" t="s">
        <v>89</v>
      </c>
      <c r="D15" s="61" t="s">
        <v>43</v>
      </c>
      <c r="E15" s="61" t="s">
        <v>43</v>
      </c>
      <c r="F15" s="61" t="s">
        <v>43</v>
      </c>
      <c r="G15" s="61" t="s">
        <v>43</v>
      </c>
      <c r="H15" s="61" t="s">
        <v>43</v>
      </c>
    </row>
    <row r="16" customFormat="false" ht="19.5" hidden="false" customHeight="true" outlineLevel="0" collapsed="false">
      <c r="A16" s="50" t="s">
        <v>72</v>
      </c>
      <c r="B16" s="51"/>
      <c r="C16" s="51"/>
      <c r="D16" s="51"/>
      <c r="E16" s="51"/>
      <c r="F16" s="52" t="n">
        <f aca="false">F14</f>
        <v>86826.2</v>
      </c>
      <c r="G16" s="52" t="n">
        <f aca="false">G14</f>
        <v>95508.82</v>
      </c>
      <c r="H16" s="51" t="s">
        <v>90</v>
      </c>
    </row>
    <row r="17" customFormat="false" ht="15.75" hidden="false" customHeight="true" outlineLevel="0" collapsed="false">
      <c r="A17" s="62" t="s">
        <v>91</v>
      </c>
      <c r="B17" s="62"/>
      <c r="C17" s="62"/>
      <c r="D17" s="62"/>
      <c r="E17" s="62"/>
      <c r="F17" s="62"/>
      <c r="G17" s="62"/>
      <c r="H17" s="62"/>
    </row>
    <row r="18" customFormat="false" ht="7.5" hidden="false" customHeight="true" outlineLevel="0" collapsed="false"/>
    <row r="19" customFormat="false" ht="19.5" hidden="false" customHeight="true" outlineLevel="0" collapsed="false">
      <c r="A19" s="35" t="s">
        <v>92</v>
      </c>
      <c r="B19" s="35"/>
      <c r="C19" s="35"/>
      <c r="D19" s="35"/>
      <c r="E19" s="35"/>
      <c r="F19" s="35"/>
      <c r="G19" s="35"/>
      <c r="H19" s="35"/>
    </row>
    <row r="20" customFormat="false" ht="30" hidden="false" customHeight="true" outlineLevel="0" collapsed="false">
      <c r="A20" s="9" t="s">
        <v>17</v>
      </c>
      <c r="B20" s="9" t="s">
        <v>6</v>
      </c>
      <c r="C20" s="9" t="s">
        <v>20</v>
      </c>
      <c r="D20" s="9" t="s">
        <v>86</v>
      </c>
      <c r="E20" s="9" t="s">
        <v>67</v>
      </c>
      <c r="F20" s="9" t="s">
        <v>68</v>
      </c>
      <c r="G20" s="9" t="s">
        <v>69</v>
      </c>
      <c r="H20" s="9" t="s">
        <v>26</v>
      </c>
    </row>
    <row r="21" customFormat="false" ht="18" hidden="false" customHeight="true" outlineLevel="0" collapsed="false">
      <c r="A21" s="36" t="s">
        <v>27</v>
      </c>
      <c r="B21" s="37" t="s">
        <v>15</v>
      </c>
      <c r="C21" s="63" t="s">
        <v>87</v>
      </c>
      <c r="D21" s="38" t="n">
        <f aca="false">B8</f>
        <v>761.633333333333</v>
      </c>
      <c r="E21" s="64" t="n">
        <v>114</v>
      </c>
      <c r="F21" s="40" t="n">
        <f aca="false">D21*E21</f>
        <v>86826.2</v>
      </c>
      <c r="G21" s="40" t="n">
        <f aca="false">F21*(1+$B$10)</f>
        <v>95508.82</v>
      </c>
      <c r="H21" s="37" t="s">
        <v>93</v>
      </c>
    </row>
    <row r="22" customFormat="false" ht="18" hidden="false" customHeight="true" outlineLevel="0" collapsed="false">
      <c r="A22" s="36" t="s">
        <v>31</v>
      </c>
      <c r="B22" s="37" t="s">
        <v>15</v>
      </c>
      <c r="C22" s="65" t="s">
        <v>94</v>
      </c>
      <c r="D22" s="38" t="n">
        <f aca="false">B9</f>
        <v>559.4</v>
      </c>
      <c r="E22" s="64" t="n">
        <v>114</v>
      </c>
      <c r="F22" s="40" t="n">
        <f aca="false">D22*E22</f>
        <v>63771.6</v>
      </c>
      <c r="G22" s="40" t="n">
        <f aca="false">F22*(1+$B$10)</f>
        <v>70148.76</v>
      </c>
      <c r="H22" s="66" t="s">
        <v>95</v>
      </c>
    </row>
    <row r="23" customFormat="false" ht="19.5" hidden="false" customHeight="true" outlineLevel="0" collapsed="false">
      <c r="A23" s="41" t="s">
        <v>74</v>
      </c>
      <c r="B23" s="42"/>
      <c r="C23" s="42"/>
      <c r="D23" s="67" t="n">
        <f aca="false">D21+D22</f>
        <v>1321.03333333333</v>
      </c>
      <c r="E23" s="42"/>
      <c r="F23" s="43" t="n">
        <f aca="false">F21+F22</f>
        <v>150597.8</v>
      </c>
      <c r="G23" s="43" t="n">
        <f aca="false">G21+G22</f>
        <v>165657.58</v>
      </c>
      <c r="H23" s="42"/>
    </row>
    <row r="24" customFormat="false" ht="21.75" hidden="false" customHeight="true" outlineLevel="0" collapsed="false">
      <c r="A24" s="68" t="s">
        <v>96</v>
      </c>
      <c r="B24" s="68"/>
      <c r="C24" s="68"/>
      <c r="D24" s="68"/>
      <c r="E24" s="68"/>
      <c r="G24" s="69" t="n">
        <f aca="false">MAX(0, G23 - 100730)</f>
        <v>64927.58</v>
      </c>
      <c r="H24" s="70" t="s">
        <v>97</v>
      </c>
    </row>
    <row r="25" customFormat="false" ht="7.5" hidden="false" customHeight="true" outlineLevel="0" collapsed="false"/>
    <row r="26" customFormat="false" ht="19.5" hidden="false" customHeight="true" outlineLevel="0" collapsed="false">
      <c r="A26" s="7" t="s">
        <v>98</v>
      </c>
      <c r="B26" s="7"/>
      <c r="C26" s="7"/>
      <c r="D26" s="7"/>
      <c r="E26" s="7"/>
      <c r="F26" s="7"/>
      <c r="G26" s="7"/>
      <c r="H26" s="7"/>
    </row>
    <row r="27" customFormat="false" ht="27.75" hidden="false" customHeight="true" outlineLevel="0" collapsed="false">
      <c r="A27" s="8" t="s">
        <v>99</v>
      </c>
      <c r="B27" s="9" t="s">
        <v>100</v>
      </c>
      <c r="C27" s="9" t="s">
        <v>101</v>
      </c>
      <c r="D27" s="9" t="s">
        <v>102</v>
      </c>
      <c r="E27" s="9" t="s">
        <v>103</v>
      </c>
    </row>
    <row r="28" customFormat="false" ht="21.75" hidden="false" customHeight="true" outlineLevel="0" collapsed="false">
      <c r="A28" s="71" t="s">
        <v>104</v>
      </c>
      <c r="B28" s="72" t="s">
        <v>105</v>
      </c>
      <c r="C28" s="72" t="s">
        <v>106</v>
      </c>
      <c r="D28" s="73" t="s">
        <v>107</v>
      </c>
      <c r="E28" s="74" t="s">
        <v>108</v>
      </c>
    </row>
    <row r="29" customFormat="false" ht="21.75" hidden="false" customHeight="true" outlineLevel="0" collapsed="false">
      <c r="A29" s="75" t="s">
        <v>109</v>
      </c>
      <c r="B29" s="76" t="s">
        <v>105</v>
      </c>
      <c r="C29" s="76" t="s">
        <v>110</v>
      </c>
      <c r="D29" s="77" t="s">
        <v>111</v>
      </c>
      <c r="E29" s="78" t="s">
        <v>112</v>
      </c>
    </row>
  </sheetData>
  <mergeCells count="7">
    <mergeCell ref="A1:H1"/>
    <mergeCell ref="A4:D4"/>
    <mergeCell ref="A12:H12"/>
    <mergeCell ref="A17:H17"/>
    <mergeCell ref="A19:H19"/>
    <mergeCell ref="A24:E24"/>
    <mergeCell ref="A26:H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22"/>
    <col collapsed="false" customWidth="true" hidden="false" outlineLevel="0" max="3" min="3" style="1" width="14"/>
    <col collapsed="false" customWidth="true" hidden="false" outlineLevel="0" max="4" min="4" style="1" width="8"/>
    <col collapsed="false" customWidth="true" hidden="false" outlineLevel="0" max="5" min="5" style="1" width="18"/>
    <col collapsed="false" customWidth="true" hidden="false" outlineLevel="0" max="7" min="6" style="1" width="16"/>
    <col collapsed="false" customWidth="true" hidden="false" outlineLevel="0" max="8" min="8" style="1" width="14"/>
    <col collapsed="false" customWidth="true" hidden="false" outlineLevel="0" max="9" min="9" style="1" width="16"/>
  </cols>
  <sheetData>
    <row r="1" customFormat="false" ht="30" hidden="false" customHeight="true" outlineLevel="0" collapsed="false">
      <c r="A1" s="2" t="s">
        <v>113</v>
      </c>
      <c r="B1" s="2"/>
      <c r="C1" s="2"/>
      <c r="D1" s="2"/>
      <c r="E1" s="2"/>
      <c r="F1" s="2"/>
      <c r="G1" s="2"/>
      <c r="H1" s="2"/>
      <c r="I1" s="2"/>
    </row>
    <row r="2" customFormat="false" ht="13.5" hidden="false" customHeight="true" outlineLevel="0" collapsed="false">
      <c r="A2" s="28" t="s">
        <v>114</v>
      </c>
    </row>
    <row r="4" customFormat="false" ht="18" hidden="false" customHeight="true" outlineLevel="0" collapsed="false">
      <c r="A4" s="79" t="s">
        <v>115</v>
      </c>
      <c r="B4" s="80" t="n">
        <v>0.1</v>
      </c>
    </row>
    <row r="6" customFormat="false" ht="19.5" hidden="false" customHeight="true" outlineLevel="0" collapsed="false">
      <c r="A6" s="81" t="s">
        <v>116</v>
      </c>
      <c r="B6" s="81"/>
      <c r="C6" s="81"/>
      <c r="D6" s="81"/>
      <c r="E6" s="81"/>
      <c r="F6" s="81"/>
      <c r="G6" s="81"/>
      <c r="H6" s="81"/>
      <c r="I6" s="81"/>
    </row>
    <row r="7" customFormat="false" ht="30" hidden="false" customHeight="true" outlineLevel="0" collapsed="false">
      <c r="A7" s="9" t="s">
        <v>17</v>
      </c>
      <c r="B7" s="9" t="s">
        <v>117</v>
      </c>
      <c r="C7" s="9" t="s">
        <v>6</v>
      </c>
      <c r="D7" s="9" t="s">
        <v>118</v>
      </c>
      <c r="E7" s="9" t="s">
        <v>119</v>
      </c>
      <c r="F7" s="9" t="s">
        <v>120</v>
      </c>
      <c r="G7" s="9" t="s">
        <v>121</v>
      </c>
      <c r="H7" s="9" t="s">
        <v>25</v>
      </c>
      <c r="I7" s="9" t="s">
        <v>122</v>
      </c>
    </row>
    <row r="8" customFormat="false" ht="18" hidden="false" customHeight="true" outlineLevel="0" collapsed="false">
      <c r="A8" s="45" t="s">
        <v>27</v>
      </c>
      <c r="B8" s="46" t="s">
        <v>123</v>
      </c>
      <c r="C8" s="46" t="s">
        <v>15</v>
      </c>
      <c r="D8" s="82" t="n">
        <v>14</v>
      </c>
      <c r="E8" s="59" t="n">
        <v>22849.26</v>
      </c>
      <c r="F8" s="49" t="n">
        <f aca="false">E8*12</f>
        <v>274191.12</v>
      </c>
      <c r="G8" s="49" t="n">
        <f aca="false">F8*(1+$B$4)</f>
        <v>301610.232</v>
      </c>
      <c r="H8" s="83" t="n">
        <v>39988.8</v>
      </c>
      <c r="I8" s="84" t="n">
        <f aca="false">H8*12</f>
        <v>479865.6</v>
      </c>
    </row>
    <row r="9" customFormat="false" ht="18" hidden="false" customHeight="true" outlineLevel="0" collapsed="false">
      <c r="A9" s="45" t="s">
        <v>31</v>
      </c>
      <c r="B9" s="46" t="s">
        <v>124</v>
      </c>
      <c r="C9" s="46" t="s">
        <v>15</v>
      </c>
      <c r="D9" s="82" t="n">
        <v>14</v>
      </c>
      <c r="E9" s="59" t="n">
        <v>16782.25</v>
      </c>
      <c r="F9" s="49" t="n">
        <f aca="false">E9*12</f>
        <v>201387</v>
      </c>
      <c r="G9" s="49" t="n">
        <f aca="false">F9*(1+$B$4)</f>
        <v>221525.7</v>
      </c>
      <c r="H9" s="83" t="n">
        <v>29368.8</v>
      </c>
      <c r="I9" s="84" t="n">
        <f aca="false">H9*12</f>
        <v>352425.6</v>
      </c>
    </row>
    <row r="10" customFormat="false" ht="19.5" hidden="false" customHeight="true" outlineLevel="0" collapsed="false">
      <c r="A10" s="50" t="s">
        <v>125</v>
      </c>
      <c r="B10" s="51"/>
      <c r="C10" s="51"/>
      <c r="D10" s="51"/>
      <c r="E10" s="52" t="n">
        <f aca="false">SUM(E8:E9)</f>
        <v>39631.51</v>
      </c>
      <c r="F10" s="52" t="n">
        <f aca="false">SUM(F8:F9)</f>
        <v>475578.12</v>
      </c>
      <c r="G10" s="52" t="n">
        <f aca="false">SUM(G8:G9)</f>
        <v>523135.932</v>
      </c>
      <c r="H10" s="85" t="n">
        <f aca="false">SUM(H8:H9)</f>
        <v>69357.6</v>
      </c>
      <c r="I10" s="85" t="n">
        <f aca="false">SUM(I8:I9)</f>
        <v>832291.2</v>
      </c>
    </row>
    <row r="11" customFormat="false" ht="7.5" hidden="false" customHeight="true" outlineLevel="0" collapsed="false"/>
    <row r="12" customFormat="false" ht="19.5" hidden="false" customHeight="true" outlineLevel="0" collapsed="false">
      <c r="A12" s="81" t="s">
        <v>126</v>
      </c>
      <c r="B12" s="81"/>
      <c r="C12" s="81"/>
      <c r="D12" s="81"/>
      <c r="E12" s="81"/>
      <c r="F12" s="81"/>
      <c r="G12" s="81"/>
      <c r="H12" s="81"/>
      <c r="I12" s="81"/>
    </row>
    <row r="13" customFormat="false" ht="30" hidden="false" customHeight="true" outlineLevel="0" collapsed="false">
      <c r="A13" s="9" t="s">
        <v>17</v>
      </c>
      <c r="B13" s="9" t="s">
        <v>117</v>
      </c>
      <c r="C13" s="9" t="s">
        <v>6</v>
      </c>
      <c r="D13" s="9" t="s">
        <v>118</v>
      </c>
      <c r="E13" s="9" t="s">
        <v>119</v>
      </c>
      <c r="F13" s="9" t="s">
        <v>120</v>
      </c>
      <c r="G13" s="9" t="s">
        <v>121</v>
      </c>
      <c r="H13" s="9" t="s">
        <v>25</v>
      </c>
      <c r="I13" s="9" t="s">
        <v>122</v>
      </c>
    </row>
    <row r="14" customFormat="false" ht="18" hidden="false" customHeight="true" outlineLevel="0" collapsed="false">
      <c r="A14" s="86" t="s">
        <v>33</v>
      </c>
      <c r="B14" s="87" t="s">
        <v>123</v>
      </c>
      <c r="C14" s="87" t="s">
        <v>12</v>
      </c>
      <c r="D14" s="88" t="n">
        <v>9</v>
      </c>
      <c r="E14" s="89" t="n">
        <v>4760.94</v>
      </c>
      <c r="F14" s="90" t="n">
        <f aca="false">E14*12</f>
        <v>57131.28</v>
      </c>
      <c r="G14" s="90" t="n">
        <f aca="false">F14*(1+$B$4)</f>
        <v>62844.408</v>
      </c>
      <c r="H14" s="91" t="n">
        <v>5954.4</v>
      </c>
      <c r="I14" s="92" t="n">
        <f aca="false">H14*12</f>
        <v>71452.8</v>
      </c>
    </row>
    <row r="15" customFormat="false" ht="18" hidden="false" customHeight="true" outlineLevel="0" collapsed="false">
      <c r="A15" s="86" t="s">
        <v>35</v>
      </c>
      <c r="B15" s="87" t="s">
        <v>123</v>
      </c>
      <c r="C15" s="87" t="s">
        <v>12</v>
      </c>
      <c r="D15" s="88" t="n">
        <v>9</v>
      </c>
      <c r="E15" s="89" t="n">
        <v>7053.03</v>
      </c>
      <c r="F15" s="90" t="n">
        <f aca="false">E15*12</f>
        <v>84636.36</v>
      </c>
      <c r="G15" s="90" t="n">
        <f aca="false">F15*(1+$B$4)</f>
        <v>93099.996</v>
      </c>
      <c r="H15" s="91" t="n">
        <v>8812.8</v>
      </c>
      <c r="I15" s="92" t="n">
        <f aca="false">H15*12</f>
        <v>105753.6</v>
      </c>
    </row>
    <row r="16" customFormat="false" ht="18" hidden="false" customHeight="true" outlineLevel="0" collapsed="false">
      <c r="A16" s="86" t="s">
        <v>37</v>
      </c>
      <c r="B16" s="87" t="s">
        <v>123</v>
      </c>
      <c r="C16" s="87" t="s">
        <v>12</v>
      </c>
      <c r="D16" s="88" t="n">
        <v>9</v>
      </c>
      <c r="E16" s="89" t="n">
        <v>13570.98</v>
      </c>
      <c r="F16" s="90" t="n">
        <f aca="false">E16*12</f>
        <v>162851.76</v>
      </c>
      <c r="G16" s="90" t="n">
        <f aca="false">F16*(1+$B$4)</f>
        <v>179136.936</v>
      </c>
      <c r="H16" s="91" t="n">
        <v>16963.2</v>
      </c>
      <c r="I16" s="92" t="n">
        <f aca="false">H16*12</f>
        <v>203558.4</v>
      </c>
    </row>
    <row r="17" customFormat="false" ht="19.5" hidden="false" customHeight="true" outlineLevel="0" collapsed="false">
      <c r="A17" s="93" t="s">
        <v>127</v>
      </c>
      <c r="B17" s="94"/>
      <c r="C17" s="94"/>
      <c r="D17" s="94"/>
      <c r="E17" s="95" t="n">
        <f aca="false">SUM(E14:E16)</f>
        <v>25384.95</v>
      </c>
      <c r="F17" s="95" t="n">
        <f aca="false">SUM(F14:F16)</f>
        <v>304619.4</v>
      </c>
      <c r="G17" s="95" t="n">
        <f aca="false">SUM(G14:G16)</f>
        <v>335081.34</v>
      </c>
      <c r="H17" s="96" t="n">
        <f aca="false">SUM(H14:H16)</f>
        <v>31730.4</v>
      </c>
      <c r="I17" s="96" t="n">
        <f aca="false">SUM(I14:I16)</f>
        <v>380764.8</v>
      </c>
    </row>
    <row r="18" customFormat="false" ht="7.5" hidden="false" customHeight="true" outlineLevel="0" collapsed="false"/>
    <row r="19" customFormat="false" ht="19.5" hidden="false" customHeight="true" outlineLevel="0" collapsed="false">
      <c r="A19" s="35" t="s">
        <v>128</v>
      </c>
      <c r="B19" s="35"/>
      <c r="C19" s="35"/>
      <c r="D19" s="35"/>
      <c r="E19" s="35"/>
      <c r="F19" s="35"/>
      <c r="G19" s="35"/>
      <c r="H19" s="35"/>
      <c r="I19" s="35"/>
    </row>
    <row r="20" customFormat="false" ht="24" hidden="false" customHeight="true" outlineLevel="0" collapsed="false">
      <c r="A20" s="97" t="s">
        <v>129</v>
      </c>
      <c r="B20" s="97"/>
      <c r="C20" s="97"/>
      <c r="D20" s="97"/>
      <c r="E20" s="97"/>
      <c r="F20" s="97"/>
      <c r="G20" s="97"/>
      <c r="H20" s="97"/>
      <c r="I20" s="97"/>
    </row>
    <row r="22" customFormat="false" ht="24" hidden="false" customHeight="true" outlineLevel="0" collapsed="false">
      <c r="A22" s="98" t="s">
        <v>130</v>
      </c>
      <c r="B22" s="98"/>
      <c r="C22" s="98"/>
      <c r="D22" s="98"/>
      <c r="E22" s="99" t="n">
        <f aca="false">E10+E17</f>
        <v>65016.46</v>
      </c>
      <c r="F22" s="99" t="n">
        <f aca="false">F10+F17</f>
        <v>780197.52</v>
      </c>
      <c r="G22" s="99" t="n">
        <f aca="false">G10+G17</f>
        <v>858217.272</v>
      </c>
      <c r="H22" s="100" t="n">
        <f aca="false">H10+H17</f>
        <v>101088</v>
      </c>
      <c r="I22" s="100" t="n">
        <f aca="false">I10+I17</f>
        <v>1213056</v>
      </c>
    </row>
  </sheetData>
  <mergeCells count="6">
    <mergeCell ref="A1:I1"/>
    <mergeCell ref="A6:I6"/>
    <mergeCell ref="A12:I12"/>
    <mergeCell ref="A19:I19"/>
    <mergeCell ref="A20:I20"/>
    <mergeCell ref="A22:D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2026-04-06T14:10:31Z</dcterms:created>
  <dc:creator>openpyxl</dc:creator>
  <dc:description/>
  <dc:language>en-US</dc:language>
  <cp:lastModifiedBy/>
  <dcterms:modified xsi:type="dcterms:W3CDTF">2026-04-06T15:09:52Z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