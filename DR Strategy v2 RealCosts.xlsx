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Cluster Configs" sheetId="2" state="visible" r:id="rId4"/>
    <sheet name="3. Cost Comparison" sheetId="3" state="visible" r:id="rId5"/>
    <sheet name="4. Network &amp; Egress" sheetId="4" state="visible" r:id="rId6"/>
    <sheet name="5. Risk Matrix" sheetId="5" state="visible" r:id="rId7"/>
    <sheet name="6. Action Pl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<sst xmlns="http://schemas.openxmlformats.org/spreadsheetml/2006/main" count="510" uniqueCount="307">
  <si>
    <t xml:space="preserve">Couchbase Capella  |  Disaster Recovery Strategy  |  Real Cost Edition</t>
  </si>
  <si>
    <t xml:space="preserve">Primary: Azure Central US (Iowa)   |   DR: Azure East US 2   |   Cluster: PRDCCDMAZCEN_001   |   Server: 7.6.8   |   Support: Enterprise</t>
  </si>
  <si>
    <t xml:space="preserve">RTO Target</t>
  </si>
  <si>
    <t xml:space="preserve">1 hr  (conservative: 1 hr 30 min)</t>
  </si>
  <si>
    <t xml:space="preserve">RPO Target</t>
  </si>
  <si>
    <t xml:space="preserve">30 minutes</t>
  </si>
  <si>
    <t xml:space="preserve">Replication</t>
  </si>
  <si>
    <t xml:space="preserve">XDCR via VNet Peering – same subscription, cross-region</t>
  </si>
  <si>
    <t xml:space="preserve">Backup Schedule</t>
  </si>
  <si>
    <t xml:space="preserve">Hourly (Capella managed)</t>
  </si>
  <si>
    <t xml:space="preserve">Cost Basis</t>
  </si>
  <si>
    <t xml:space="preserve">Capella-provided credit estimates (real figures from UI screenshots)</t>
  </si>
  <si>
    <t xml:space="preserve">DR STRATEGY OPTIONS  –  REAL CAPELLA CREDIT COSTS</t>
  </si>
  <si>
    <t xml:space="preserve">Option</t>
  </si>
  <si>
    <t xml:space="preserve">Strategy</t>
  </si>
  <si>
    <t xml:space="preserve">Nodes</t>
  </si>
  <si>
    <t xml:space="preserve">Monthly Credits</t>
  </si>
  <si>
    <t xml:space="preserve">Monthly PAYG</t>
  </si>
  <si>
    <t xml:space="preserve">Savings (Credits)</t>
  </si>
  <si>
    <t xml:space="preserve">Savings %</t>
  </si>
  <si>
    <t xml:space="preserve">RTO Met?</t>
  </si>
  <si>
    <t xml:space="preserve">RPO Met?</t>
  </si>
  <si>
    <t xml:space="preserve">Verdict</t>
  </si>
  <si>
    <t xml:space="preserve">A</t>
  </si>
  <si>
    <t xml:space="preserve">Full Mirror – Always On (Status Quo)</t>
  </si>
  <si>
    <t xml:space="preserve">YES</t>
  </si>
  <si>
    <t xml:space="preserve">Safest. Full cost. Required if compliance mandates it.</t>
  </si>
  <si>
    <t xml:space="preserve">B</t>
  </si>
  <si>
    <t xml:space="preserve">Horizontal Scale-Down – 9 nodes, same vCPU  [RECOMMENDED]</t>
  </si>
  <si>
    <t xml:space="preserve">RECOMMENDED: 33.9% credit savings. RTO met with Capella SLA.</t>
  </si>
  <si>
    <t xml:space="preserve">C</t>
  </si>
  <si>
    <t xml:space="preserve">Vertical Scale-Down – 12 nodes, reduced vCPU</t>
  </si>
  <si>
    <t xml:space="preserve">40.5% savings but reduced per-node compute. Review performance impact.</t>
  </si>
  <si>
    <t xml:space="preserve">D</t>
  </si>
  <si>
    <t xml:space="preserve">Scheduled On/Off + Backup Restore</t>
  </si>
  <si>
    <t xml:space="preserve">~4,570 est.</t>
  </si>
  <si>
    <t xml:space="preserve">~8,000 est.</t>
  </si>
  <si>
    <t xml:space="preserve">~$9,256 est.</t>
  </si>
  <si>
    <t xml:space="preserve">~40%</t>
  </si>
  <si>
    <t xml:space="preserve">NO</t>
  </si>
  <si>
    <t xml:space="preserve">NOT RECOMMENDED: Fails RTO (3–6 hr) and RPO (up to 60 min).</t>
  </si>
  <si>
    <t xml:space="preserve">IMPORTANT – Data disk note: Images 2 and 3 show Data group disk changed to 2048GB P40 (up from 1024GB P30 in primary). Confirm whether this was intentional before applying either scale-down config to DR. If disk stays at 1024GB P30, credits will be slightly lower.</t>
  </si>
  <si>
    <t xml:space="preserve">Cluster Configurations – Primary vs All DR Options  |  PRDCCDMAZCEN_001</t>
  </si>
  <si>
    <t xml:space="preserve">PRIMARY CLUSTER  (Current – Baseline)</t>
  </si>
  <si>
    <t xml:space="preserve">Total Nodes</t>
  </si>
  <si>
    <t xml:space="preserve">Group</t>
  </si>
  <si>
    <t xml:space="preserve">Role</t>
  </si>
  <si>
    <t xml:space="preserve">vCPU/Node</t>
  </si>
  <si>
    <t xml:space="preserve">RAM/Node</t>
  </si>
  <si>
    <t xml:space="preserve">Disk (GB)</t>
  </si>
  <si>
    <t xml:space="preserve">IOPS</t>
  </si>
  <si>
    <t xml:space="preserve">Disk Type</t>
  </si>
  <si>
    <t xml:space="preserve">Service Group 1</t>
  </si>
  <si>
    <t xml:space="preserve">Data</t>
  </si>
  <si>
    <t xml:space="preserve">32vCPU</t>
  </si>
  <si>
    <t xml:space="preserve">64GB</t>
  </si>
  <si>
    <t xml:space="preserve">1024GB</t>
  </si>
  <si>
    <t xml:space="preserve">5000</t>
  </si>
  <si>
    <t xml:space="preserve">P30</t>
  </si>
  <si>
    <t xml:space="preserve">Service Group 2</t>
  </si>
  <si>
    <t xml:space="preserve">Index</t>
  </si>
  <si>
    <t xml:space="preserve">256GB</t>
  </si>
  <si>
    <t xml:space="preserve">1100</t>
  </si>
  <si>
    <t xml:space="preserve">P15</t>
  </si>
  <si>
    <t xml:space="preserve">Service Group 3</t>
  </si>
  <si>
    <t xml:space="preserve">Query</t>
  </si>
  <si>
    <t xml:space="preserve">16vCPU</t>
  </si>
  <si>
    <t xml:space="preserve">240</t>
  </si>
  <si>
    <t xml:space="preserve">P6</t>
  </si>
  <si>
    <t xml:space="preserve">Service Group 4</t>
  </si>
  <si>
    <t xml:space="preserve">Eventing</t>
  </si>
  <si>
    <t xml:space="preserve">128GB</t>
  </si>
  <si>
    <t xml:space="preserve">500</t>
  </si>
  <si>
    <t xml:space="preserve">P10</t>
  </si>
  <si>
    <t xml:space="preserve">OPTION A  –  Full Mirror  (Same as Primary, Always On)</t>
  </si>
  <si>
    <t xml:space="preserve">OPTION B  –  Horizontal Scale-Down  (9 nodes, same vCPU)  [RECOMMENDED]</t>
  </si>
  <si>
    <t xml:space="preserve">Savings vs Primary</t>
  </si>
  <si>
    <t xml:space="preserve">* NOTE: Data disk changed to 2048GB P40 in Capella estimate – confirm if intentional</t>
  </si>
  <si>
    <t xml:space="preserve">2048GB</t>
  </si>
  <si>
    <t xml:space="preserve">7500</t>
  </si>
  <si>
    <t xml:space="preserve">P40*</t>
  </si>
  <si>
    <t xml:space="preserve">OPTION C  –  Vertical Scale-Down  (12 nodes, smaller vCPU per node)</t>
  </si>
  <si>
    <t xml:space="preserve">8vCPU</t>
  </si>
  <si>
    <t xml:space="preserve">Cost Comparison  |  Real Capella Credit Estimates  |  All figures from Capella UI</t>
  </si>
  <si>
    <t xml:space="preserve">MONTHLY COST  –  CREDITS vs PAY-AS-YOU-GO</t>
  </si>
  <si>
    <t xml:space="preserve">Metric</t>
  </si>
  <si>
    <t xml:space="preserve">Option A
Full Mirror
14 nodes</t>
  </si>
  <si>
    <t xml:space="preserve">Option B
Horiz Scale-Down
9 nodes  [REC]</t>
  </si>
  <si>
    <t xml:space="preserve">Option C
Vert Scale-Down
12 nodes</t>
  </si>
  <si>
    <t xml:space="preserve">Option D
Scheduled
On/Off (est.)</t>
  </si>
  <si>
    <t xml:space="preserve">Monthly Credits (from Capella UI)</t>
  </si>
  <si>
    <t xml:space="preserve">Monthly Pay-As-You-Go ($)</t>
  </si>
  <si>
    <t xml:space="preserve">Credit Savings vs Option A</t>
  </si>
  <si>
    <t xml:space="preserve">~18,279 est.</t>
  </si>
  <si>
    <t xml:space="preserve">~80% est.</t>
  </si>
  <si>
    <t xml:space="preserve">Annual Credits</t>
  </si>
  <si>
    <t xml:space="preserve">~54,840 est.</t>
  </si>
  <si>
    <t xml:space="preserve">Annual Savings vs Option A</t>
  </si>
  <si>
    <t xml:space="preserve">~219,348 est.</t>
  </si>
  <si>
    <t xml:space="preserve">HORIZONTAL vs VERTICAL SCALING  –  TRADE-OFF ANALYSIS</t>
  </si>
  <si>
    <t xml:space="preserve">Dimension</t>
  </si>
  <si>
    <t xml:space="preserve">Horizontal Scale-Down
(Option B – 9 nodes, same vCPU)</t>
  </si>
  <si>
    <t xml:space="preserve">Vertical Scale-Down
(Option C – 12 nodes, reduced vCPU)</t>
  </si>
  <si>
    <t xml:space="preserve">Monthly Credit Cost</t>
  </si>
  <si>
    <t xml:space="preserve">15,110.90</t>
  </si>
  <si>
    <t xml:space="preserve">13,593.25</t>
  </si>
  <si>
    <t xml:space="preserve">Credit Savings vs Primary</t>
  </si>
  <si>
    <t xml:space="preserve">7,738.36  (33.9%)</t>
  </si>
  <si>
    <t xml:space="preserve">9,256.01  (40.5%)</t>
  </si>
  <si>
    <t xml:space="preserve">Total DR Nodes</t>
  </si>
  <si>
    <t xml:space="preserve">9</t>
  </si>
  <si>
    <t xml:space="preserve">12</t>
  </si>
  <si>
    <t xml:space="preserve">Data Nodes</t>
  </si>
  <si>
    <t xml:space="preserve">3 (minimum HA)</t>
  </si>
  <si>
    <t xml:space="preserve">5 (same as primary)</t>
  </si>
  <si>
    <t xml:space="preserve">vCPU per Data Node</t>
  </si>
  <si>
    <t xml:space="preserve">32 vCPU (same as primary)</t>
  </si>
  <si>
    <t xml:space="preserve">16 vCPU (half of primary)</t>
  </si>
  <si>
    <t xml:space="preserve">vCPU per Query/Eventing Node</t>
  </si>
  <si>
    <t xml:space="preserve">16 vCPU (same as primary)</t>
  </si>
  <si>
    <t xml:space="preserve">8 vCPU (half of primary)</t>
  </si>
  <si>
    <t xml:space="preserve">Compute headroom on DR event</t>
  </si>
  <si>
    <t xml:space="preserve">Full capacity from minute 1</t>
  </si>
  <si>
    <t xml:space="preserve">Reduced – may degrade under full load</t>
  </si>
  <si>
    <t xml:space="preserve">Index warm-up risk</t>
  </si>
  <si>
    <t xml:space="preserve">Lower (fewer changes)</t>
  </si>
  <si>
    <t xml:space="preserve">Moderate (vCPU half = slower warm-up)</t>
  </si>
  <si>
    <t xml:space="preserve">Scale-up complexity on DR</t>
  </si>
  <si>
    <t xml:space="preserve">Add 5 nodes (same spec)</t>
  </si>
  <si>
    <t xml:space="preserve">Add nodes AND upgrade vCPU size</t>
  </si>
  <si>
    <t xml:space="preserve">Replication factor risk</t>
  </si>
  <si>
    <t xml:space="preserve">High – 3 Data nodes, check numReplicas</t>
  </si>
  <si>
    <t xml:space="preserve">Low – 5 Data nodes, same as primary</t>
  </si>
  <si>
    <t xml:space="preserve">Capella SLA dependency</t>
  </si>
  <si>
    <t xml:space="preserve">High – need scale-up SLA for RTO</t>
  </si>
  <si>
    <t xml:space="preserve">Moderate – more nodes in DR already</t>
  </si>
  <si>
    <t xml:space="preserve">Recommended for this RTO/RPO</t>
  </si>
  <si>
    <t xml:space="preserve">YES – with Capella SLA</t>
  </si>
  <si>
    <t xml:space="preserve">MAYBE – if Capella SLA not available</t>
  </si>
  <si>
    <t xml:space="preserve">ANNUAL SAVINGS PROJECTION  (Credits)</t>
  </si>
  <si>
    <t xml:space="preserve">Year</t>
  </si>
  <si>
    <t xml:space="preserve">Option A
(Full Mirror)</t>
  </si>
  <si>
    <t xml:space="preserve">Option B
(9 nodes)</t>
  </si>
  <si>
    <t xml:space="preserve">Option C
(12 nodes)</t>
  </si>
  <si>
    <t xml:space="preserve">Opt B vs A
(Cumulative)</t>
  </si>
  <si>
    <t xml:space="preserve">Opt C vs A
(Cumulative)</t>
  </si>
  <si>
    <t xml:space="preserve">Year 1</t>
  </si>
  <si>
    <t xml:space="preserve">Year 2</t>
  </si>
  <si>
    <t xml:space="preserve">Year 3</t>
  </si>
  <si>
    <t xml:space="preserve">Network &amp; Egress  |  XDCR via VNet Peering  |  Central US ↔ East US 2</t>
  </si>
  <si>
    <t xml:space="preserve">AZURE VNET PEERING EGRESS RATES</t>
  </si>
  <si>
    <t xml:space="preserve">Type</t>
  </si>
  <si>
    <t xml:space="preserve">Scope</t>
  </si>
  <si>
    <t xml:space="preserve">Rate $/GB</t>
  </si>
  <si>
    <t xml:space="preserve">Your Config</t>
  </si>
  <si>
    <t xml:space="preserve">Notes</t>
  </si>
  <si>
    <t xml:space="preserve">Intra-region VNet peering</t>
  </si>
  <si>
    <t xml:space="preserve">Same region</t>
  </si>
  <si>
    <t xml:space="preserve">$0.010</t>
  </si>
  <si>
    <t xml:space="preserve">No</t>
  </si>
  <si>
    <t xml:space="preserve">Not your setup</t>
  </si>
  <si>
    <t xml:space="preserve">Cross-region VNet peering – Outbound</t>
  </si>
  <si>
    <t xml:space="preserve">Central US → East US 2</t>
  </si>
  <si>
    <t xml:space="preserve">$0.035</t>
  </si>
  <si>
    <t xml:space="preserve">YES – XDCR traffic</t>
  </si>
  <si>
    <t xml:space="preserve">This is what your XDCR pays. Billed per GB leaving Central US.</t>
  </si>
  <si>
    <t xml:space="preserve">Cross-region VNet peering – Inbound</t>
  </si>
  <si>
    <t xml:space="preserve">East US 2 ← Central US</t>
  </si>
  <si>
    <t xml:space="preserve">$0.000</t>
  </si>
  <si>
    <t xml:space="preserve">YES (inbound free)</t>
  </si>
  <si>
    <t xml:space="preserve">Inbound is always free in Azure VNet peering.</t>
  </si>
  <si>
    <t xml:space="preserve">Private Endpoint (same region)</t>
  </si>
  <si>
    <t xml:space="preserve">Not applicable</t>
  </si>
  <si>
    <t xml:space="preserve">Internet Egress</t>
  </si>
  <si>
    <t xml:space="preserve">Any</t>
  </si>
  <si>
    <t xml:space="preserve">$0.087</t>
  </si>
  <si>
    <t xml:space="preserve">No – private EP used</t>
  </si>
  <si>
    <t xml:space="preserve">You are protected by private endpoint. No public internet egress.</t>
  </si>
  <si>
    <t xml:space="preserve">XDCR EGRESS COST ESTIMATOR  (update blue cells)</t>
  </si>
  <si>
    <t xml:space="preserve">Daily XDCR replication volume (GB/day)</t>
  </si>
  <si>
    <t xml:space="preserve">GB/day</t>
  </si>
  <si>
    <t xml:space="preserve">Pull from Capella Monitoring → Cluster → XDCR tab</t>
  </si>
  <si>
    <t xml:space="preserve">Days per month</t>
  </si>
  <si>
    <t xml:space="preserve">days</t>
  </si>
  <si>
    <t xml:space="preserve">Fixed</t>
  </si>
  <si>
    <t xml:space="preserve">VNet peering egress rate (Central US → East US 2)</t>
  </si>
  <si>
    <t xml:space="preserve">$/GB</t>
  </si>
  <si>
    <t xml:space="preserve">Azure pricing – cross-region VNet peering as of 2025</t>
  </si>
  <si>
    <t xml:space="preserve">Monthly GB Transferred</t>
  </si>
  <si>
    <t xml:space="preserve">GB/month</t>
  </si>
  <si>
    <t xml:space="preserve">Estimated Monthly Egress Cost</t>
  </si>
  <si>
    <t xml:space="preserve">per month</t>
  </si>
  <si>
    <t xml:space="preserve">NOTE: This cost is SEPARATE from Capella credits – billed directly by Azure.</t>
  </si>
  <si>
    <t xml:space="preserve">QUESTIONS TO CONFIRM WITH CAPELLA &amp; AZURE TEAM</t>
  </si>
  <si>
    <t xml:space="preserve">Q1</t>
  </si>
  <si>
    <t xml:space="preserve">Does Capella credits cost include underlying Azure VNet peering/egress, or is that billed separately via Azure Cost Management?</t>
  </si>
  <si>
    <t xml:space="preserve">Q2</t>
  </si>
  <si>
    <t xml:space="preserve">What is the actual daily XDCR replication volume (GB/day)? Pull from Capella Monitoring to replace the 100GB/day assumption above.</t>
  </si>
  <si>
    <t xml:space="preserve">Q3</t>
  </si>
  <si>
    <t xml:space="preserve">Is XDCR one-way (Primary → DR) or bi-directional? Bi-directional doubles egress cost.</t>
  </si>
  <si>
    <t xml:space="preserve">Q4</t>
  </si>
  <si>
    <t xml:space="preserve">Are the 9 or 12 nodes in East US 2 already provisioned and idle, or will they need to be spun up from the shared pool during a DR event?</t>
  </si>
  <si>
    <t xml:space="preserve">Q5</t>
  </si>
  <si>
    <t xml:space="preserve">Can Capella commit to a scale-up SLA (additional 5 nodes within 60 min) for Option B? Is there a contractual mechanism for this?</t>
  </si>
  <si>
    <t xml:space="preserve">Q6</t>
  </si>
  <si>
    <t xml:space="preserve">The Data group disk changed to 2048GB P40 in the scale-down estimates. Was this intentional? If not, revert to 1024GB P30 and re-check credit estimate.</t>
  </si>
  <si>
    <t xml:space="preserve">Risk Matrix  |  DR Strategy Assessment</t>
  </si>
  <si>
    <t xml:space="preserve">Risk</t>
  </si>
  <si>
    <t xml:space="preserve">Description</t>
  </si>
  <si>
    <t xml:space="preserve">Option A
Full Mirror</t>
  </si>
  <si>
    <t xml:space="preserve">Option B
Horiz [REC]</t>
  </si>
  <si>
    <t xml:space="preserve">Option C
Vert</t>
  </si>
  <si>
    <t xml:space="preserve">Option D
On/Off</t>
  </si>
  <si>
    <t xml:space="preserve">RTO Compliance</t>
  </si>
  <si>
    <t xml:space="preserve">Failing 1h30m RTO during actual DR event</t>
  </si>
  <si>
    <t xml:space="preserve">Low</t>
  </si>
  <si>
    <t xml:space="preserve">High</t>
  </si>
  <si>
    <t xml:space="preserve">Medium</t>
  </si>
  <si>
    <t xml:space="preserve">Critical</t>
  </si>
  <si>
    <t xml:space="preserve">RPO Compliance</t>
  </si>
  <si>
    <t xml:space="preserve">Data loss exceeding 30 min RPO</t>
  </si>
  <si>
    <t xml:space="preserve">Azure Capacity</t>
  </si>
  <si>
    <t xml:space="preserve">East US 2 capacity unavailable at DR event time</t>
  </si>
  <si>
    <t xml:space="preserve">Capella Provisioning</t>
  </si>
  <si>
    <t xml:space="preserve">P1 resolution exceeds 60 min for scale-up</t>
  </si>
  <si>
    <t xml:space="preserve">Cost Efficiency</t>
  </si>
  <si>
    <t xml:space="preserve">Paying for idle compute with no business value</t>
  </si>
  <si>
    <t xml:space="preserve">XDCR Lag</t>
  </si>
  <si>
    <t xml:space="preserve">Replication lag exceeds RPO due to network/bug</t>
  </si>
  <si>
    <t xml:space="preserve">Index Warm-up</t>
  </si>
  <si>
    <t xml:space="preserve">Couchbase index rebuild delays query after failover</t>
  </si>
  <si>
    <t xml:space="preserve">Compliance / Audit</t>
  </si>
  <si>
    <t xml:space="preserve">DR config rejected by SOC2/PCI/HIPAA auditors</t>
  </si>
  <si>
    <t xml:space="preserve">Runbook Complexity</t>
  </si>
  <si>
    <t xml:space="preserve">Human error risk during high-pressure DR event</t>
  </si>
  <si>
    <t xml:space="preserve">Data Node Min (numReplicas)</t>
  </si>
  <si>
    <t xml:space="preserve">3 Data nodes may violate numReplicas setting</t>
  </si>
  <si>
    <t xml:space="preserve">vCPU Reduction Impact</t>
  </si>
  <si>
    <t xml:space="preserve">Reduced per-node compute causing DR perf issues</t>
  </si>
  <si>
    <t xml:space="preserve">CRITICAL CHECK BEFORE DEPLOYING OPTION B OR C: Run 'cbstats &lt;node&gt; all | grep num_replicas' on the primary cluster. If numReplicas = 2, minimum 3 Data nodes are required (Option B: OK). If numReplicas = 3, minimum 4 Data nodes are required (Option B: FAILS – increase to 4). Option C keeps 5 Data nodes so is safe regardless.</t>
  </si>
  <si>
    <t xml:space="preserve">Action Plan  |  Recommended: Option B (9 nodes) with Capella Scale-Up SLA</t>
  </si>
  <si>
    <t xml:space="preserve">#</t>
  </si>
  <si>
    <t xml:space="preserve">Action Item</t>
  </si>
  <si>
    <t xml:space="preserve">Owner</t>
  </si>
  <si>
    <t xml:space="preserve">Target</t>
  </si>
  <si>
    <t xml:space="preserve">Status</t>
  </si>
  <si>
    <t xml:space="preserve">IMMEDIATE – Before Go-Live (2 weeks)</t>
  </si>
  <si>
    <t xml:space="preserve">1</t>
  </si>
  <si>
    <t xml:space="preserve">Confirm bucket numReplicas on primary. If = 3, Option B needs 4 Data nodes.</t>
  </si>
  <si>
    <t xml:space="preserve">DB Admin</t>
  </si>
  <si>
    <t xml:space="preserve">Week 1</t>
  </si>
  <si>
    <t xml:space="preserve">OPEN</t>
  </si>
  <si>
    <t xml:space="preserve">Run: cbstats &lt;node&gt; all | grep num_replicas</t>
  </si>
  <si>
    <t xml:space="preserve">2</t>
  </si>
  <si>
    <t xml:space="preserve">Confirm Data group disk: was 2048GB P40 intentional for DR, or revert to 1024GB P30?</t>
  </si>
  <si>
    <t xml:space="preserve">Infra</t>
  </si>
  <si>
    <t xml:space="preserve">Affects credit estimate. If revert, re-pull Capella cost estimate.</t>
  </si>
  <si>
    <t xml:space="preserve">3</t>
  </si>
  <si>
    <t xml:space="preserve">Pull actual XDCR replication volume from Capella Monitoring (GB/day).</t>
  </si>
  <si>
    <t xml:space="preserve">Infra / Cloud</t>
  </si>
  <si>
    <t xml:space="preserve">Update cell C in Sheet 4 Egress Estimator with real number.</t>
  </si>
  <si>
    <t xml:space="preserve">4</t>
  </si>
  <si>
    <t xml:space="preserve">Confirm with Capella: are the East US 2 nodes physically reserved or in shared pool?</t>
  </si>
  <si>
    <t xml:space="preserve">Capella Account Team</t>
  </si>
  <si>
    <t xml:space="preserve">This is the single biggest risk factor for Option B's RTO.</t>
  </si>
  <si>
    <t xml:space="preserve">5</t>
  </si>
  <si>
    <t xml:space="preserve">Negotiate Capella SLA: scale-up 5 nodes within 60 min on P1 for DR event.</t>
  </si>
  <si>
    <t xml:space="preserve">Without this, Option B does not reliably meet RTO. Fall back to Option A.</t>
  </si>
  <si>
    <t xml:space="preserve">6</t>
  </si>
  <si>
    <t xml:space="preserve">Confirm compliance requirements (SOC2, PCI, HIPAA) with security team.</t>
  </si>
  <si>
    <t xml:space="preserve">Security / Compliance</t>
  </si>
  <si>
    <t xml:space="preserve">May mandate Option A regardless of cost savings.</t>
  </si>
  <si>
    <t xml:space="preserve">GO-LIVE WEEK</t>
  </si>
  <si>
    <t xml:space="preserve">7</t>
  </si>
  <si>
    <t xml:space="preserve">Decision gate: present this workbook to stakeholders. Select Option A, B, or C.</t>
  </si>
  <si>
    <t xml:space="preserve">Architecture / Management</t>
  </si>
  <si>
    <t xml:space="preserve">Go-Live</t>
  </si>
  <si>
    <t xml:space="preserve">All inputs from steps 1–6 must be resolved before this gate.</t>
  </si>
  <si>
    <t xml:space="preserve">8</t>
  </si>
  <si>
    <t xml:space="preserve">If Option B: scale DR from 14 → 9 nodes. Sequence: Eventing → Query → Index → Data.</t>
  </si>
  <si>
    <t xml:space="preserve">Infra / Capella</t>
  </si>
  <si>
    <t xml:space="preserve">Validate XDCR lag stays &lt; 5 min after each node removal.</t>
  </si>
  <si>
    <t xml:space="preserve">If Option C: reduce vCPUs. Sequence: Query/Eventing first, then Index, then Data.</t>
  </si>
  <si>
    <t xml:space="preserve">Monitor query latency after each vCPU reduction.</t>
  </si>
  <si>
    <t xml:space="preserve">10</t>
  </si>
  <si>
    <t xml:space="preserve">Complete and rehearse DR runbook: trigger → P1 → Capella → scale-up → DNS cutover.</t>
  </si>
  <si>
    <t xml:space="preserve">Infra / DB Admin</t>
  </si>
  <si>
    <t xml:space="preserve">RTO clock starts at incident declaration. Every manual step costs time.</t>
  </si>
  <si>
    <t xml:space="preserve">11</t>
  </si>
  <si>
    <t xml:space="preserve">Conduct DR failover drill within 30 days of go-live.</t>
  </si>
  <si>
    <t xml:space="preserve">Infra / Operations</t>
  </si>
  <si>
    <t xml:space="preserve">Go-Live +30d</t>
  </si>
  <si>
    <t xml:space="preserve">Test both the runbook and the Capella scale-up SLA in practice.</t>
  </si>
  <si>
    <t xml:space="preserve">ONGOING</t>
  </si>
  <si>
    <t xml:space="preserve">Review Azure Cost Management monthly for VNet peering / egress charges.</t>
  </si>
  <si>
    <t xml:space="preserve">Cloud FinOps</t>
  </si>
  <si>
    <t xml:space="preserve">Monthly</t>
  </si>
  <si>
    <t xml:space="preserve">Alert if egress exceeds 2x estimate – may indicate XDCR misconfiguration.</t>
  </si>
  <si>
    <t xml:space="preserve">13</t>
  </si>
  <si>
    <t xml:space="preserve">Review Capella credit burn and reserved capacity quarterly.</t>
  </si>
  <si>
    <t xml:space="preserve">Quarterly</t>
  </si>
  <si>
    <t xml:space="preserve">Confirm 50% reservation is still contractually active.</t>
  </si>
  <si>
    <t xml:space="preserve">14</t>
  </si>
  <si>
    <t xml:space="preserve">Re-evaluate DR strategy if primary cluster scales beyond current config.</t>
  </si>
  <si>
    <t xml:space="preserve">Architecture</t>
  </si>
  <si>
    <t xml:space="preserve">As needed</t>
  </si>
  <si>
    <t xml:space="preserve">Any primary node or vCPU increase must be reflected in DR sizing.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</si>
</sst>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\$#,##0.00"/>
    <numFmt numFmtId="167" formatCode="0.0%"/>
    <numFmt numFmtId="168" formatCode="#,##0.00&quot; credits&quot;"/>
    <numFmt numFmtId="169" formatCode="#,##0"/>
    <numFmt numFmtId="170" formatCode="\$#,##0.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CC"/>
      <name val="Arial"/>
      <family val="0"/>
      <charset val="1"/>
    </font>
    <font>
      <b val="true"/>
      <sz val="8"/>
      <color rgb="FFCC0000"/>
      <name val="Arial"/>
      <family val="0"/>
      <charset val="1"/>
    </font>
    <font>
      <sz val="9"/>
      <color rgb="FFCC0000"/>
      <name val="Arial"/>
      <family val="0"/>
      <charset val="1"/>
    </font>
    <font>
      <b val="true"/>
      <sz val="9"/>
      <color rgb="FF006600"/>
      <name val="Arial"/>
      <family val="0"/>
      <charset val="1"/>
    </font>
    <font>
      <sz val="10"/>
      <color rgb="FF0000CC"/>
      <name val="Arial"/>
      <family val="0"/>
      <charset val="1"/>
    </font>
    <font>
      <b val="true"/>
      <sz val="9"/>
      <color rgb="FF80808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CC0000"/>
      <name val="Arial"/>
      <family val="0"/>
      <charset val="1"/>
    </font>
    <font>
      <b val="true"/>
      <sz val="9"/>
      <color rgb="FF996600"/>
      <name val="Arial"/>
      <family val="0"/>
      <charset val="1"/>
    </font>
    <font>
      <b val="true"/>
      <sz val="9"/>
      <color rgb="FF66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404040"/>
        <bgColor rgb="FF333300"/>
      </patternFill>
    </fill>
    <fill>
      <patternFill patternType="solid">
        <fgColor rgb="FFF5F5F5"/>
        <bgColor rgb="FFFFFBE6"/>
      </patternFill>
    </fill>
    <fill>
      <patternFill patternType="solid">
        <fgColor rgb="FFFFFFFF"/>
        <bgColor rgb="FFFFFBE6"/>
      </patternFill>
    </fill>
    <fill>
      <patternFill patternType="solid">
        <fgColor rgb="FFFFFBE6"/>
        <bgColor rgb="FFF5F5F5"/>
      </patternFill>
    </fill>
    <fill>
      <patternFill patternType="solid">
        <fgColor rgb="FF808080"/>
        <bgColor rgb="FF9999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CC"/>
      <rgbColor rgb="FFFFFF00"/>
      <rgbColor rgb="FFFF00FF"/>
      <rgbColor rgb="FF00FFFF"/>
      <rgbColor rgb="FF66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BE6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7" min="5" style="0" width="16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1" min="11" style="0" width="30"/>
  </cols>
  <sheetData>
    <row r="1" customFormat="false" ht="6" hidden="false" customHeight="true" outlineLevel="0" collapsed="false"/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27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5.75" hidden="false" customHeight="true" outlineLevel="0" collapsed="false">
      <c r="B6" s="3" t="s">
        <v>2</v>
      </c>
      <c r="C6" s="4" t="s">
        <v>3</v>
      </c>
      <c r="D6" s="4"/>
      <c r="E6" s="4"/>
      <c r="F6" s="4"/>
    </row>
    <row r="7" customFormat="false" ht="15.75" hidden="false" customHeight="true" outlineLevel="0" collapsed="false">
      <c r="B7" s="3" t="s">
        <v>4</v>
      </c>
      <c r="C7" s="4" t="s">
        <v>5</v>
      </c>
      <c r="D7" s="4"/>
      <c r="E7" s="4"/>
      <c r="F7" s="4"/>
    </row>
    <row r="8" customFormat="false" ht="15.75" hidden="false" customHeight="true" outlineLevel="0" collapsed="false">
      <c r="B8" s="3" t="s">
        <v>6</v>
      </c>
      <c r="C8" s="4" t="s">
        <v>7</v>
      </c>
      <c r="D8" s="4"/>
      <c r="E8" s="4"/>
      <c r="F8" s="4"/>
    </row>
    <row r="9" customFormat="false" ht="15.75" hidden="false" customHeight="true" outlineLevel="0" collapsed="false">
      <c r="B9" s="3" t="s">
        <v>8</v>
      </c>
      <c r="C9" s="4" t="s">
        <v>9</v>
      </c>
      <c r="D9" s="4"/>
      <c r="E9" s="4"/>
      <c r="F9" s="4"/>
    </row>
    <row r="10" customFormat="false" ht="15.75" hidden="false" customHeight="true" outlineLevel="0" collapsed="false">
      <c r="B10" s="3" t="s">
        <v>10</v>
      </c>
      <c r="C10" s="4" t="s">
        <v>11</v>
      </c>
      <c r="D10" s="4"/>
      <c r="E10" s="4"/>
      <c r="F10" s="4"/>
    </row>
    <row r="12" customFormat="false" ht="19.5" hidden="false" customHeight="true" outlineLevel="0" collapsed="false">
      <c r="B12" s="5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30" hidden="false" customHeight="true" outlineLevel="0" collapsed="false"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18</v>
      </c>
      <c r="H13" s="6" t="s">
        <v>19</v>
      </c>
      <c r="I13" s="6" t="s">
        <v>20</v>
      </c>
      <c r="J13" s="6" t="s">
        <v>21</v>
      </c>
      <c r="K13" s="6" t="s">
        <v>22</v>
      </c>
    </row>
    <row r="14" customFormat="false" ht="27.75" hidden="false" customHeight="true" outlineLevel="0" collapsed="false">
      <c r="B14" s="7" t="s">
        <v>23</v>
      </c>
      <c r="C14" s="8" t="s">
        <v>24</v>
      </c>
      <c r="D14" s="9" t="n">
        <v>14</v>
      </c>
      <c r="E14" s="10" t="n">
        <v>22849.26</v>
      </c>
      <c r="F14" s="11" t="n">
        <v>39988.8</v>
      </c>
      <c r="G14" s="10" t="n">
        <v>0</v>
      </c>
      <c r="H14" s="12" t="n">
        <v>0</v>
      </c>
      <c r="I14" s="13" t="s">
        <v>25</v>
      </c>
      <c r="J14" s="13" t="s">
        <v>25</v>
      </c>
      <c r="K14" s="14" t="s">
        <v>26</v>
      </c>
    </row>
    <row r="15" customFormat="false" ht="27.75" hidden="false" customHeight="true" outlineLevel="0" collapsed="false">
      <c r="B15" s="15" t="s">
        <v>27</v>
      </c>
      <c r="C15" s="16" t="s">
        <v>28</v>
      </c>
      <c r="D15" s="17" t="n">
        <v>9</v>
      </c>
      <c r="E15" s="18" t="n">
        <v>15110.9</v>
      </c>
      <c r="F15" s="19" t="n">
        <v>26445.6</v>
      </c>
      <c r="G15" s="20" t="n">
        <v>7738.36</v>
      </c>
      <c r="H15" s="21" t="n">
        <v>0.338670048833091</v>
      </c>
      <c r="I15" s="22" t="s">
        <v>25</v>
      </c>
      <c r="J15" s="22" t="s">
        <v>25</v>
      </c>
      <c r="K15" s="23" t="s">
        <v>29</v>
      </c>
    </row>
    <row r="16" customFormat="false" ht="27.75" hidden="false" customHeight="true" outlineLevel="0" collapsed="false">
      <c r="B16" s="24" t="s">
        <v>30</v>
      </c>
      <c r="C16" s="25" t="s">
        <v>31</v>
      </c>
      <c r="D16" s="26" t="n">
        <v>12</v>
      </c>
      <c r="E16" s="27" t="n">
        <v>13593.25</v>
      </c>
      <c r="F16" s="28" t="n">
        <v>23788.8</v>
      </c>
      <c r="G16" s="29" t="n">
        <v>9256.01</v>
      </c>
      <c r="H16" s="30" t="n">
        <v>0.405090142963054</v>
      </c>
      <c r="I16" s="31" t="s">
        <v>25</v>
      </c>
      <c r="J16" s="31" t="s">
        <v>25</v>
      </c>
      <c r="K16" s="32" t="s">
        <v>32</v>
      </c>
    </row>
    <row r="17" customFormat="false" ht="27.75" hidden="false" customHeight="true" outlineLevel="0" collapsed="false">
      <c r="B17" s="7" t="s">
        <v>33</v>
      </c>
      <c r="C17" s="8" t="s">
        <v>34</v>
      </c>
      <c r="D17" s="9" t="n">
        <v>0</v>
      </c>
      <c r="E17" s="33" t="s">
        <v>35</v>
      </c>
      <c r="F17" s="33" t="s">
        <v>36</v>
      </c>
      <c r="G17" s="33" t="s">
        <v>37</v>
      </c>
      <c r="H17" s="33" t="s">
        <v>38</v>
      </c>
      <c r="I17" s="34" t="s">
        <v>39</v>
      </c>
      <c r="J17" s="34" t="s">
        <v>39</v>
      </c>
      <c r="K17" s="35" t="s">
        <v>40</v>
      </c>
    </row>
    <row r="19" customFormat="false" ht="18" hidden="false" customHeight="true" outlineLevel="0" collapsed="false">
      <c r="B19" s="36" t="s">
        <v>41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customFormat="false" ht="18" hidden="false" customHeight="true" outlineLevel="0" collapsed="false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</sheetData>
  <mergeCells count="9">
    <mergeCell ref="B2:L3"/>
    <mergeCell ref="B4:L4"/>
    <mergeCell ref="C6:F6"/>
    <mergeCell ref="C7:F7"/>
    <mergeCell ref="C8:F8"/>
    <mergeCell ref="C9:F9"/>
    <mergeCell ref="C10:F10"/>
    <mergeCell ref="B12:L12"/>
    <mergeCell ref="B19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7" min="4" style="0" width="14"/>
    <col collapsed="false" customWidth="true" hidden="false" outlineLevel="0" max="9" min="8" style="0" width="18"/>
    <col collapsed="false" customWidth="true" hidden="false" outlineLevel="0" max="10" min="10" style="0" width="10"/>
  </cols>
  <sheetData>
    <row r="1" customFormat="false" ht="6" hidden="false" customHeight="true" outlineLevel="0" collapsed="false"/>
    <row r="2" customFormat="false" ht="24" hidden="false" customHeight="true" outlineLevel="0" collapsed="false">
      <c r="B2" s="37" t="s">
        <v>42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customFormat="false" ht="24" hidden="false" customHeight="true" outlineLevel="0" collapsed="false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5" customFormat="false" ht="19.5" hidden="false" customHeight="true" outlineLevel="0" collapsed="false">
      <c r="B5" s="38" t="s">
        <v>43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customFormat="false" ht="15.75" hidden="false" customHeight="true" outlineLevel="0" collapsed="false">
      <c r="B6" s="39" t="s">
        <v>44</v>
      </c>
      <c r="C6" s="40" t="n">
        <v>14</v>
      </c>
      <c r="D6" s="39" t="s">
        <v>16</v>
      </c>
      <c r="E6" s="18" t="n">
        <v>22849.26</v>
      </c>
      <c r="F6" s="39" t="s">
        <v>17</v>
      </c>
      <c r="G6" s="28" t="n">
        <v>39988.8</v>
      </c>
    </row>
    <row r="7" customFormat="false" ht="13.5" hidden="false" customHeight="true" outlineLevel="0" collapsed="false">
      <c r="B7" s="41" t="s">
        <v>45</v>
      </c>
      <c r="C7" s="41" t="s">
        <v>46</v>
      </c>
      <c r="D7" s="41" t="s">
        <v>15</v>
      </c>
      <c r="E7" s="41" t="s">
        <v>47</v>
      </c>
      <c r="F7" s="41" t="s">
        <v>48</v>
      </c>
      <c r="G7" s="41" t="s">
        <v>49</v>
      </c>
      <c r="H7" s="41" t="s">
        <v>50</v>
      </c>
      <c r="I7" s="41" t="s">
        <v>51</v>
      </c>
    </row>
    <row r="8" customFormat="false" ht="13.5" hidden="false" customHeight="true" outlineLevel="0" collapsed="false">
      <c r="B8" s="39" t="s">
        <v>52</v>
      </c>
      <c r="C8" s="42" t="s">
        <v>53</v>
      </c>
      <c r="D8" s="43" t="n">
        <v>5</v>
      </c>
      <c r="E8" s="44" t="s">
        <v>54</v>
      </c>
      <c r="F8" s="44" t="s">
        <v>55</v>
      </c>
      <c r="G8" s="44" t="s">
        <v>56</v>
      </c>
      <c r="H8" s="44" t="s">
        <v>57</v>
      </c>
      <c r="I8" s="44" t="s">
        <v>58</v>
      </c>
    </row>
    <row r="9" customFormat="false" ht="13.5" hidden="false" customHeight="true" outlineLevel="0" collapsed="false">
      <c r="B9" s="45" t="s">
        <v>59</v>
      </c>
      <c r="C9" s="46" t="s">
        <v>60</v>
      </c>
      <c r="D9" s="47" t="n">
        <v>3</v>
      </c>
      <c r="E9" s="48" t="s">
        <v>54</v>
      </c>
      <c r="F9" s="48" t="s">
        <v>55</v>
      </c>
      <c r="G9" s="48" t="s">
        <v>61</v>
      </c>
      <c r="H9" s="48" t="s">
        <v>62</v>
      </c>
      <c r="I9" s="48" t="s">
        <v>63</v>
      </c>
    </row>
    <row r="10" customFormat="false" ht="13.5" hidden="false" customHeight="true" outlineLevel="0" collapsed="false">
      <c r="B10" s="39" t="s">
        <v>64</v>
      </c>
      <c r="C10" s="42" t="s">
        <v>65</v>
      </c>
      <c r="D10" s="43" t="n">
        <v>3</v>
      </c>
      <c r="E10" s="44" t="s">
        <v>66</v>
      </c>
      <c r="F10" s="44" t="s">
        <v>55</v>
      </c>
      <c r="G10" s="44" t="s">
        <v>55</v>
      </c>
      <c r="H10" s="44" t="s">
        <v>67</v>
      </c>
      <c r="I10" s="44" t="s">
        <v>68</v>
      </c>
    </row>
    <row r="11" customFormat="false" ht="13.5" hidden="false" customHeight="true" outlineLevel="0" collapsed="false">
      <c r="B11" s="45" t="s">
        <v>69</v>
      </c>
      <c r="C11" s="46" t="s">
        <v>70</v>
      </c>
      <c r="D11" s="47" t="n">
        <v>3</v>
      </c>
      <c r="E11" s="48" t="s">
        <v>66</v>
      </c>
      <c r="F11" s="48" t="s">
        <v>55</v>
      </c>
      <c r="G11" s="48" t="s">
        <v>71</v>
      </c>
      <c r="H11" s="48" t="s">
        <v>72</v>
      </c>
      <c r="I11" s="48" t="s">
        <v>73</v>
      </c>
    </row>
    <row r="13" customFormat="false" ht="19.5" hidden="false" customHeight="true" outlineLevel="0" collapsed="false">
      <c r="B13" s="49" t="s">
        <v>74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</row>
    <row r="14" customFormat="false" ht="15.75" hidden="false" customHeight="true" outlineLevel="0" collapsed="false">
      <c r="B14" s="39" t="s">
        <v>44</v>
      </c>
      <c r="C14" s="40" t="n">
        <v>14</v>
      </c>
      <c r="D14" s="39" t="s">
        <v>16</v>
      </c>
      <c r="E14" s="18" t="n">
        <v>22849.26</v>
      </c>
      <c r="F14" s="39" t="s">
        <v>17</v>
      </c>
      <c r="G14" s="28" t="n">
        <v>39988.8</v>
      </c>
    </row>
    <row r="15" customFormat="false" ht="13.5" hidden="false" customHeight="true" outlineLevel="0" collapsed="false">
      <c r="B15" s="41" t="s">
        <v>45</v>
      </c>
      <c r="C15" s="41" t="s">
        <v>46</v>
      </c>
      <c r="D15" s="41" t="s">
        <v>15</v>
      </c>
      <c r="E15" s="41" t="s">
        <v>47</v>
      </c>
      <c r="F15" s="41" t="s">
        <v>48</v>
      </c>
      <c r="G15" s="41" t="s">
        <v>49</v>
      </c>
      <c r="H15" s="41" t="s">
        <v>50</v>
      </c>
      <c r="I15" s="41" t="s">
        <v>51</v>
      </c>
    </row>
    <row r="16" customFormat="false" ht="13.5" hidden="false" customHeight="true" outlineLevel="0" collapsed="false">
      <c r="B16" s="39" t="s">
        <v>52</v>
      </c>
      <c r="C16" s="42" t="s">
        <v>53</v>
      </c>
      <c r="D16" s="43" t="n">
        <v>5</v>
      </c>
      <c r="E16" s="44" t="s">
        <v>54</v>
      </c>
      <c r="F16" s="44" t="s">
        <v>55</v>
      </c>
      <c r="G16" s="44" t="s">
        <v>56</v>
      </c>
      <c r="H16" s="44" t="s">
        <v>57</v>
      </c>
      <c r="I16" s="44" t="s">
        <v>58</v>
      </c>
    </row>
    <row r="17" customFormat="false" ht="13.5" hidden="false" customHeight="true" outlineLevel="0" collapsed="false">
      <c r="B17" s="45" t="s">
        <v>59</v>
      </c>
      <c r="C17" s="46" t="s">
        <v>60</v>
      </c>
      <c r="D17" s="47" t="n">
        <v>3</v>
      </c>
      <c r="E17" s="48" t="s">
        <v>54</v>
      </c>
      <c r="F17" s="48" t="s">
        <v>55</v>
      </c>
      <c r="G17" s="48" t="s">
        <v>61</v>
      </c>
      <c r="H17" s="48" t="s">
        <v>62</v>
      </c>
      <c r="I17" s="48" t="s">
        <v>63</v>
      </c>
    </row>
    <row r="18" customFormat="false" ht="13.5" hidden="false" customHeight="true" outlineLevel="0" collapsed="false">
      <c r="B18" s="39" t="s">
        <v>64</v>
      </c>
      <c r="C18" s="42" t="s">
        <v>65</v>
      </c>
      <c r="D18" s="43" t="n">
        <v>3</v>
      </c>
      <c r="E18" s="44" t="s">
        <v>66</v>
      </c>
      <c r="F18" s="44" t="s">
        <v>55</v>
      </c>
      <c r="G18" s="44" t="s">
        <v>55</v>
      </c>
      <c r="H18" s="44" t="s">
        <v>67</v>
      </c>
      <c r="I18" s="44" t="s">
        <v>68</v>
      </c>
    </row>
    <row r="19" customFormat="false" ht="13.5" hidden="false" customHeight="true" outlineLevel="0" collapsed="false">
      <c r="B19" s="45" t="s">
        <v>69</v>
      </c>
      <c r="C19" s="46" t="s">
        <v>70</v>
      </c>
      <c r="D19" s="47" t="n">
        <v>3</v>
      </c>
      <c r="E19" s="48" t="s">
        <v>66</v>
      </c>
      <c r="F19" s="48" t="s">
        <v>55</v>
      </c>
      <c r="G19" s="48" t="s">
        <v>71</v>
      </c>
      <c r="H19" s="48" t="s">
        <v>72</v>
      </c>
      <c r="I19" s="48" t="s">
        <v>73</v>
      </c>
    </row>
    <row r="21" customFormat="false" ht="19.5" hidden="false" customHeight="true" outlineLevel="0" collapsed="false">
      <c r="B21" s="50" t="s">
        <v>75</v>
      </c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</row>
    <row r="22" customFormat="false" ht="15.75" hidden="false" customHeight="true" outlineLevel="0" collapsed="false">
      <c r="B22" s="39" t="s">
        <v>44</v>
      </c>
      <c r="C22" s="40" t="n">
        <v>9</v>
      </c>
      <c r="D22" s="39" t="s">
        <v>16</v>
      </c>
      <c r="E22" s="18" t="n">
        <v>15110.9</v>
      </c>
      <c r="F22" s="39" t="s">
        <v>17</v>
      </c>
      <c r="G22" s="28" t="n">
        <v>26445.6</v>
      </c>
      <c r="H22" s="39" t="s">
        <v>76</v>
      </c>
      <c r="I22" s="51" t="n">
        <v>7738.36</v>
      </c>
      <c r="J22" s="30" t="n">
        <v>0.338670048833091</v>
      </c>
    </row>
    <row r="23" customFormat="false" ht="13.5" hidden="false" customHeight="true" outlineLevel="0" collapsed="false">
      <c r="B23" s="52" t="s">
        <v>77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</row>
    <row r="24" customFormat="false" ht="13.5" hidden="false" customHeight="true" outlineLevel="0" collapsed="false">
      <c r="B24" s="41" t="s">
        <v>45</v>
      </c>
      <c r="C24" s="41" t="s">
        <v>46</v>
      </c>
      <c r="D24" s="41" t="s">
        <v>15</v>
      </c>
      <c r="E24" s="41" t="s">
        <v>47</v>
      </c>
      <c r="F24" s="41" t="s">
        <v>48</v>
      </c>
      <c r="G24" s="41" t="s">
        <v>49</v>
      </c>
      <c r="H24" s="41" t="s">
        <v>50</v>
      </c>
      <c r="I24" s="41" t="s">
        <v>51</v>
      </c>
    </row>
    <row r="25" customFormat="false" ht="13.5" hidden="false" customHeight="true" outlineLevel="0" collapsed="false">
      <c r="B25" s="39" t="s">
        <v>52</v>
      </c>
      <c r="C25" s="42" t="s">
        <v>53</v>
      </c>
      <c r="D25" s="43" t="n">
        <v>3</v>
      </c>
      <c r="E25" s="44" t="s">
        <v>54</v>
      </c>
      <c r="F25" s="44" t="s">
        <v>55</v>
      </c>
      <c r="G25" s="44" t="s">
        <v>78</v>
      </c>
      <c r="H25" s="44" t="s">
        <v>79</v>
      </c>
      <c r="I25" s="44" t="s">
        <v>80</v>
      </c>
    </row>
    <row r="26" customFormat="false" ht="13.5" hidden="false" customHeight="true" outlineLevel="0" collapsed="false">
      <c r="B26" s="45" t="s">
        <v>59</v>
      </c>
      <c r="C26" s="46" t="s">
        <v>60</v>
      </c>
      <c r="D26" s="47" t="n">
        <v>2</v>
      </c>
      <c r="E26" s="48" t="s">
        <v>54</v>
      </c>
      <c r="F26" s="48" t="s">
        <v>55</v>
      </c>
      <c r="G26" s="48" t="s">
        <v>61</v>
      </c>
      <c r="H26" s="48" t="s">
        <v>62</v>
      </c>
      <c r="I26" s="48" t="s">
        <v>63</v>
      </c>
    </row>
    <row r="27" customFormat="false" ht="13.5" hidden="false" customHeight="true" outlineLevel="0" collapsed="false">
      <c r="B27" s="39" t="s">
        <v>64</v>
      </c>
      <c r="C27" s="42" t="s">
        <v>65</v>
      </c>
      <c r="D27" s="43" t="n">
        <v>2</v>
      </c>
      <c r="E27" s="44" t="s">
        <v>66</v>
      </c>
      <c r="F27" s="44" t="s">
        <v>55</v>
      </c>
      <c r="G27" s="44" t="s">
        <v>55</v>
      </c>
      <c r="H27" s="44" t="s">
        <v>67</v>
      </c>
      <c r="I27" s="44" t="s">
        <v>68</v>
      </c>
    </row>
    <row r="28" customFormat="false" ht="13.5" hidden="false" customHeight="true" outlineLevel="0" collapsed="false">
      <c r="B28" s="45" t="s">
        <v>69</v>
      </c>
      <c r="C28" s="46" t="s">
        <v>70</v>
      </c>
      <c r="D28" s="47" t="n">
        <v>2</v>
      </c>
      <c r="E28" s="48" t="s">
        <v>66</v>
      </c>
      <c r="F28" s="48" t="s">
        <v>55</v>
      </c>
      <c r="G28" s="48" t="s">
        <v>71</v>
      </c>
      <c r="H28" s="48" t="s">
        <v>72</v>
      </c>
      <c r="I28" s="48" t="s">
        <v>73</v>
      </c>
    </row>
    <row r="30" customFormat="false" ht="19.5" hidden="false" customHeight="true" outlineLevel="0" collapsed="false">
      <c r="B30" s="38" t="s">
        <v>81</v>
      </c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customFormat="false" ht="15.75" hidden="false" customHeight="true" outlineLevel="0" collapsed="false">
      <c r="B31" s="39" t="s">
        <v>44</v>
      </c>
      <c r="C31" s="40" t="n">
        <v>12</v>
      </c>
      <c r="D31" s="39" t="s">
        <v>16</v>
      </c>
      <c r="E31" s="18" t="n">
        <v>13593.25</v>
      </c>
      <c r="F31" s="39" t="s">
        <v>17</v>
      </c>
      <c r="G31" s="28" t="n">
        <v>23788.8</v>
      </c>
      <c r="H31" s="39" t="s">
        <v>76</v>
      </c>
      <c r="I31" s="51" t="n">
        <v>9256.01</v>
      </c>
      <c r="J31" s="30" t="n">
        <v>0.405090142963054</v>
      </c>
    </row>
    <row r="32" customFormat="false" ht="13.5" hidden="false" customHeight="true" outlineLevel="0" collapsed="false">
      <c r="B32" s="52" t="s">
        <v>77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</row>
    <row r="33" customFormat="false" ht="13.5" hidden="false" customHeight="true" outlineLevel="0" collapsed="false">
      <c r="B33" s="41" t="s">
        <v>45</v>
      </c>
      <c r="C33" s="41" t="s">
        <v>46</v>
      </c>
      <c r="D33" s="41" t="s">
        <v>15</v>
      </c>
      <c r="E33" s="41" t="s">
        <v>47</v>
      </c>
      <c r="F33" s="41" t="s">
        <v>48</v>
      </c>
      <c r="G33" s="41" t="s">
        <v>49</v>
      </c>
      <c r="H33" s="41" t="s">
        <v>50</v>
      </c>
      <c r="I33" s="41" t="s">
        <v>51</v>
      </c>
    </row>
    <row r="34" customFormat="false" ht="13.5" hidden="false" customHeight="true" outlineLevel="0" collapsed="false">
      <c r="B34" s="39" t="s">
        <v>52</v>
      </c>
      <c r="C34" s="42" t="s">
        <v>53</v>
      </c>
      <c r="D34" s="43" t="n">
        <v>5</v>
      </c>
      <c r="E34" s="44" t="s">
        <v>66</v>
      </c>
      <c r="F34" s="44" t="s">
        <v>55</v>
      </c>
      <c r="G34" s="44" t="s">
        <v>78</v>
      </c>
      <c r="H34" s="44" t="s">
        <v>79</v>
      </c>
      <c r="I34" s="44" t="s">
        <v>80</v>
      </c>
    </row>
    <row r="35" customFormat="false" ht="13.5" hidden="false" customHeight="true" outlineLevel="0" collapsed="false">
      <c r="B35" s="45" t="s">
        <v>59</v>
      </c>
      <c r="C35" s="46" t="s">
        <v>60</v>
      </c>
      <c r="D35" s="47" t="n">
        <v>3</v>
      </c>
      <c r="E35" s="48" t="s">
        <v>66</v>
      </c>
      <c r="F35" s="48" t="s">
        <v>55</v>
      </c>
      <c r="G35" s="48" t="s">
        <v>61</v>
      </c>
      <c r="H35" s="48" t="s">
        <v>62</v>
      </c>
      <c r="I35" s="48" t="s">
        <v>63</v>
      </c>
    </row>
    <row r="36" customFormat="false" ht="13.5" hidden="false" customHeight="true" outlineLevel="0" collapsed="false">
      <c r="B36" s="39" t="s">
        <v>64</v>
      </c>
      <c r="C36" s="42" t="s">
        <v>65</v>
      </c>
      <c r="D36" s="43" t="n">
        <v>2</v>
      </c>
      <c r="E36" s="44" t="s">
        <v>82</v>
      </c>
      <c r="F36" s="44" t="s">
        <v>55</v>
      </c>
      <c r="G36" s="44" t="s">
        <v>55</v>
      </c>
      <c r="H36" s="44" t="s">
        <v>67</v>
      </c>
      <c r="I36" s="44" t="s">
        <v>68</v>
      </c>
    </row>
    <row r="37" customFormat="false" ht="13.5" hidden="false" customHeight="true" outlineLevel="0" collapsed="false">
      <c r="B37" s="45" t="s">
        <v>69</v>
      </c>
      <c r="C37" s="46" t="s">
        <v>70</v>
      </c>
      <c r="D37" s="47" t="n">
        <v>2</v>
      </c>
      <c r="E37" s="48" t="s">
        <v>82</v>
      </c>
      <c r="F37" s="48" t="s">
        <v>55</v>
      </c>
      <c r="G37" s="48" t="s">
        <v>71</v>
      </c>
      <c r="H37" s="48" t="s">
        <v>72</v>
      </c>
      <c r="I37" s="48" t="s">
        <v>73</v>
      </c>
    </row>
  </sheetData>
  <mergeCells count="7">
    <mergeCell ref="B2:N3"/>
    <mergeCell ref="B5:N5"/>
    <mergeCell ref="B13:N13"/>
    <mergeCell ref="B21:N21"/>
    <mergeCell ref="B23:N23"/>
    <mergeCell ref="B30:N30"/>
    <mergeCell ref="B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4" min="3" style="0" width="38"/>
    <col collapsed="false" customWidth="true" hidden="false" outlineLevel="0" max="6" min="5" style="0" width="18"/>
  </cols>
  <sheetData>
    <row r="1" customFormat="false" ht="6" hidden="false" customHeight="true" outlineLevel="0" collapsed="false"/>
    <row r="2" customFormat="false" ht="24" hidden="false" customHeight="true" outlineLevel="0" collapsed="false">
      <c r="B2" s="37" t="s">
        <v>83</v>
      </c>
      <c r="C2" s="37"/>
      <c r="D2" s="37"/>
      <c r="E2" s="37"/>
      <c r="F2" s="37"/>
      <c r="G2" s="37"/>
      <c r="H2" s="37"/>
      <c r="I2" s="37"/>
      <c r="J2" s="37"/>
      <c r="K2" s="37"/>
      <c r="L2" s="37"/>
    </row>
    <row r="3" customFormat="false" ht="24" hidden="false" customHeight="true" outlineLevel="0" collapsed="false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5" customFormat="false" ht="18" hidden="false" customHeight="true" outlineLevel="0" collapsed="false">
      <c r="B5" s="53" t="s">
        <v>84</v>
      </c>
      <c r="C5" s="53"/>
      <c r="D5" s="53"/>
      <c r="E5" s="53"/>
      <c r="F5" s="53"/>
      <c r="G5" s="53"/>
      <c r="H5" s="53"/>
      <c r="I5" s="53"/>
      <c r="J5" s="53"/>
      <c r="K5" s="53"/>
      <c r="L5" s="53"/>
    </row>
    <row r="6" customFormat="false" ht="36" hidden="false" customHeight="true" outlineLevel="0" collapsed="false">
      <c r="B6" s="54" t="s">
        <v>85</v>
      </c>
      <c r="C6" s="54" t="s">
        <v>86</v>
      </c>
      <c r="D6" s="55" t="s">
        <v>87</v>
      </c>
      <c r="E6" s="54" t="s">
        <v>88</v>
      </c>
      <c r="F6" s="54" t="s">
        <v>89</v>
      </c>
    </row>
    <row r="7" customFormat="false" ht="18" hidden="false" customHeight="true" outlineLevel="0" collapsed="false">
      <c r="B7" s="39" t="s">
        <v>90</v>
      </c>
      <c r="C7" s="56" t="n">
        <v>22849.26</v>
      </c>
      <c r="D7" s="18" t="n">
        <v>15110.9</v>
      </c>
      <c r="E7" s="56" t="n">
        <v>13593.25</v>
      </c>
      <c r="F7" s="33" t="s">
        <v>35</v>
      </c>
    </row>
    <row r="8" customFormat="false" ht="18" hidden="false" customHeight="true" outlineLevel="0" collapsed="false">
      <c r="B8" s="45" t="s">
        <v>91</v>
      </c>
      <c r="C8" s="57" t="n">
        <v>39988.8</v>
      </c>
      <c r="D8" s="58" t="n">
        <v>26445.6</v>
      </c>
      <c r="E8" s="57" t="n">
        <v>23788.8</v>
      </c>
      <c r="F8" s="59" t="s">
        <v>36</v>
      </c>
    </row>
    <row r="9" customFormat="false" ht="18" hidden="false" customHeight="true" outlineLevel="0" collapsed="false">
      <c r="B9" s="39" t="s">
        <v>92</v>
      </c>
      <c r="C9" s="33" t="n">
        <v>0</v>
      </c>
      <c r="D9" s="20" t="n">
        <v>7738.36</v>
      </c>
      <c r="E9" s="60" t="n">
        <v>9256.01</v>
      </c>
      <c r="F9" s="33" t="s">
        <v>93</v>
      </c>
    </row>
    <row r="10" customFormat="false" ht="18" hidden="false" customHeight="true" outlineLevel="0" collapsed="false">
      <c r="B10" s="45" t="s">
        <v>19</v>
      </c>
      <c r="C10" s="59" t="n">
        <v>0</v>
      </c>
      <c r="D10" s="61" t="n">
        <v>0.338670048833091</v>
      </c>
      <c r="E10" s="62" t="n">
        <v>0.405090142963054</v>
      </c>
      <c r="F10" s="59" t="s">
        <v>94</v>
      </c>
    </row>
    <row r="11" customFormat="false" ht="18" hidden="false" customHeight="true" outlineLevel="0" collapsed="false">
      <c r="B11" s="39" t="s">
        <v>95</v>
      </c>
      <c r="C11" s="63" t="n">
        <v>274191.12</v>
      </c>
      <c r="D11" s="64" t="n">
        <v>181330.8</v>
      </c>
      <c r="E11" s="63" t="n">
        <v>163119</v>
      </c>
      <c r="F11" s="33" t="s">
        <v>96</v>
      </c>
    </row>
    <row r="12" customFormat="false" ht="18" hidden="false" customHeight="true" outlineLevel="0" collapsed="false">
      <c r="B12" s="45" t="s">
        <v>97</v>
      </c>
      <c r="C12" s="59" t="n">
        <v>0</v>
      </c>
      <c r="D12" s="65" t="n">
        <v>92860.32</v>
      </c>
      <c r="E12" s="66" t="n">
        <v>111072.12</v>
      </c>
      <c r="F12" s="59" t="s">
        <v>98</v>
      </c>
    </row>
    <row r="14" customFormat="false" ht="18" hidden="false" customHeight="true" outlineLevel="0" collapsed="false">
      <c r="B14" s="67" t="s">
        <v>99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</row>
    <row r="15" customFormat="false" ht="30" hidden="false" customHeight="true" outlineLevel="0" collapsed="false">
      <c r="B15" s="54" t="s">
        <v>100</v>
      </c>
      <c r="C15" s="54" t="s">
        <v>101</v>
      </c>
      <c r="D15" s="54" t="s">
        <v>102</v>
      </c>
    </row>
    <row r="16" customFormat="false" ht="18" hidden="false" customHeight="true" outlineLevel="0" collapsed="false">
      <c r="B16" s="39" t="s">
        <v>103</v>
      </c>
      <c r="C16" s="68" t="s">
        <v>104</v>
      </c>
      <c r="D16" s="42" t="s">
        <v>105</v>
      </c>
    </row>
    <row r="17" customFormat="false" ht="18" hidden="false" customHeight="true" outlineLevel="0" collapsed="false">
      <c r="B17" s="45" t="s">
        <v>106</v>
      </c>
      <c r="C17" s="68" t="s">
        <v>107</v>
      </c>
      <c r="D17" s="46" t="s">
        <v>108</v>
      </c>
    </row>
    <row r="18" customFormat="false" ht="18" hidden="false" customHeight="true" outlineLevel="0" collapsed="false">
      <c r="B18" s="39" t="s">
        <v>109</v>
      </c>
      <c r="C18" s="68" t="s">
        <v>110</v>
      </c>
      <c r="D18" s="42" t="s">
        <v>111</v>
      </c>
    </row>
    <row r="19" customFormat="false" ht="18" hidden="false" customHeight="true" outlineLevel="0" collapsed="false">
      <c r="B19" s="45" t="s">
        <v>112</v>
      </c>
      <c r="C19" s="68" t="s">
        <v>113</v>
      </c>
      <c r="D19" s="45" t="s">
        <v>114</v>
      </c>
    </row>
    <row r="20" customFormat="false" ht="18" hidden="false" customHeight="true" outlineLevel="0" collapsed="false">
      <c r="B20" s="39" t="s">
        <v>115</v>
      </c>
      <c r="C20" s="69" t="s">
        <v>116</v>
      </c>
      <c r="D20" s="42" t="s">
        <v>117</v>
      </c>
    </row>
    <row r="21" customFormat="false" ht="18" hidden="false" customHeight="true" outlineLevel="0" collapsed="false">
      <c r="B21" s="45" t="s">
        <v>118</v>
      </c>
      <c r="C21" s="69" t="s">
        <v>119</v>
      </c>
      <c r="D21" s="46" t="s">
        <v>120</v>
      </c>
    </row>
    <row r="22" customFormat="false" ht="18" hidden="false" customHeight="true" outlineLevel="0" collapsed="false">
      <c r="B22" s="39" t="s">
        <v>121</v>
      </c>
      <c r="C22" s="69" t="s">
        <v>122</v>
      </c>
      <c r="D22" s="70" t="s">
        <v>123</v>
      </c>
    </row>
    <row r="23" customFormat="false" ht="18" hidden="false" customHeight="true" outlineLevel="0" collapsed="false">
      <c r="B23" s="45" t="s">
        <v>124</v>
      </c>
      <c r="C23" s="68" t="s">
        <v>125</v>
      </c>
      <c r="D23" s="71" t="s">
        <v>126</v>
      </c>
    </row>
    <row r="24" customFormat="false" ht="18" hidden="false" customHeight="true" outlineLevel="0" collapsed="false">
      <c r="B24" s="39" t="s">
        <v>127</v>
      </c>
      <c r="C24" s="69" t="s">
        <v>128</v>
      </c>
      <c r="D24" s="42" t="s">
        <v>129</v>
      </c>
    </row>
    <row r="25" customFormat="false" ht="18" hidden="false" customHeight="true" outlineLevel="0" collapsed="false">
      <c r="B25" s="45" t="s">
        <v>130</v>
      </c>
      <c r="C25" s="68" t="s">
        <v>131</v>
      </c>
      <c r="D25" s="45" t="s">
        <v>132</v>
      </c>
    </row>
    <row r="26" customFormat="false" ht="18" hidden="false" customHeight="true" outlineLevel="0" collapsed="false">
      <c r="B26" s="39" t="s">
        <v>133</v>
      </c>
      <c r="C26" s="68" t="s">
        <v>134</v>
      </c>
      <c r="D26" s="42" t="s">
        <v>135</v>
      </c>
    </row>
    <row r="27" customFormat="false" ht="18" hidden="false" customHeight="true" outlineLevel="0" collapsed="false">
      <c r="B27" s="45" t="s">
        <v>136</v>
      </c>
      <c r="C27" s="72" t="s">
        <v>137</v>
      </c>
      <c r="D27" s="46" t="s">
        <v>138</v>
      </c>
    </row>
    <row r="29" customFormat="false" ht="15.75" hidden="false" customHeight="true" outlineLevel="0" collapsed="false">
      <c r="B29" s="53" t="s">
        <v>139</v>
      </c>
      <c r="C29" s="53"/>
      <c r="D29" s="53"/>
      <c r="E29" s="53"/>
      <c r="F29" s="53"/>
      <c r="G29" s="53"/>
      <c r="H29" s="53"/>
      <c r="I29" s="53"/>
      <c r="J29" s="53"/>
      <c r="K29" s="53"/>
      <c r="L29" s="53"/>
    </row>
    <row r="30" customFormat="false" ht="27.75" hidden="false" customHeight="true" outlineLevel="0" collapsed="false">
      <c r="B30" s="54" t="s">
        <v>140</v>
      </c>
      <c r="C30" s="54" t="s">
        <v>141</v>
      </c>
      <c r="D30" s="54" t="s">
        <v>142</v>
      </c>
      <c r="E30" s="54" t="s">
        <v>143</v>
      </c>
      <c r="F30" s="54" t="s">
        <v>144</v>
      </c>
      <c r="G30" s="54" t="s">
        <v>145</v>
      </c>
    </row>
    <row r="31" customFormat="false" ht="18" hidden="false" customHeight="true" outlineLevel="0" collapsed="false">
      <c r="B31" s="45" t="s">
        <v>146</v>
      </c>
      <c r="C31" s="73" t="n">
        <v>274191.12</v>
      </c>
      <c r="D31" s="74" t="n">
        <v>181330.8</v>
      </c>
      <c r="E31" s="73" t="n">
        <v>163119</v>
      </c>
      <c r="F31" s="66" t="n">
        <v>92860.32</v>
      </c>
      <c r="G31" s="66" t="n">
        <v>111072.12</v>
      </c>
    </row>
    <row r="32" customFormat="false" ht="18" hidden="false" customHeight="true" outlineLevel="0" collapsed="false">
      <c r="B32" s="39" t="s">
        <v>147</v>
      </c>
      <c r="C32" s="63" t="n">
        <v>548382.24</v>
      </c>
      <c r="D32" s="74" t="n">
        <v>362661.6</v>
      </c>
      <c r="E32" s="63" t="n">
        <v>326238</v>
      </c>
      <c r="F32" s="75" t="n">
        <v>185720.64</v>
      </c>
      <c r="G32" s="75" t="n">
        <v>222144.24</v>
      </c>
    </row>
    <row r="33" customFormat="false" ht="18" hidden="false" customHeight="true" outlineLevel="0" collapsed="false">
      <c r="B33" s="45" t="s">
        <v>148</v>
      </c>
      <c r="C33" s="73" t="n">
        <v>822573.36</v>
      </c>
      <c r="D33" s="74" t="n">
        <v>543992.4</v>
      </c>
      <c r="E33" s="73" t="n">
        <v>489357</v>
      </c>
      <c r="F33" s="66" t="n">
        <v>278580.96</v>
      </c>
      <c r="G33" s="66" t="n">
        <v>333216.36</v>
      </c>
    </row>
  </sheetData>
  <mergeCells count="4">
    <mergeCell ref="B2:L3"/>
    <mergeCell ref="B5:L5"/>
    <mergeCell ref="B14:L14"/>
    <mergeCell ref="B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40"/>
  </cols>
  <sheetData>
    <row r="1" customFormat="false" ht="6" hidden="false" customHeight="true" outlineLevel="0" collapsed="false"/>
    <row r="2" customFormat="false" ht="24" hidden="false" customHeight="true" outlineLevel="0" collapsed="false">
      <c r="B2" s="37" t="s">
        <v>149</v>
      </c>
      <c r="C2" s="37"/>
      <c r="D2" s="37"/>
      <c r="E2" s="37"/>
      <c r="F2" s="37"/>
      <c r="G2" s="37"/>
      <c r="H2" s="37"/>
      <c r="I2" s="37"/>
      <c r="J2" s="37"/>
      <c r="K2" s="37"/>
      <c r="L2" s="37"/>
    </row>
    <row r="3" customFormat="false" ht="24" hidden="false" customHeight="true" outlineLevel="0" collapsed="false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5" customFormat="false" ht="15.75" hidden="false" customHeight="true" outlineLevel="0" collapsed="false">
      <c r="B5" s="53" t="s">
        <v>150</v>
      </c>
      <c r="C5" s="53"/>
      <c r="D5" s="53"/>
      <c r="E5" s="53"/>
      <c r="F5" s="53"/>
      <c r="G5" s="53"/>
      <c r="H5" s="53"/>
      <c r="I5" s="53"/>
      <c r="J5" s="53"/>
      <c r="K5" s="53"/>
      <c r="L5" s="53"/>
    </row>
    <row r="6" customFormat="false" ht="15.75" hidden="false" customHeight="true" outlineLevel="0" collapsed="false">
      <c r="B6" s="76" t="s">
        <v>151</v>
      </c>
      <c r="C6" s="76" t="s">
        <v>152</v>
      </c>
      <c r="D6" s="76" t="s">
        <v>153</v>
      </c>
      <c r="E6" s="76" t="s">
        <v>154</v>
      </c>
      <c r="F6" s="76" t="s">
        <v>155</v>
      </c>
    </row>
    <row r="7" customFormat="false" ht="19.5" hidden="false" customHeight="true" outlineLevel="0" collapsed="false">
      <c r="B7" s="42" t="s">
        <v>156</v>
      </c>
      <c r="C7" s="43" t="s">
        <v>157</v>
      </c>
      <c r="D7" s="77" t="s">
        <v>158</v>
      </c>
      <c r="E7" s="78" t="s">
        <v>159</v>
      </c>
      <c r="F7" s="79" t="s">
        <v>160</v>
      </c>
    </row>
    <row r="8" customFormat="false" ht="19.5" hidden="false" customHeight="true" outlineLevel="0" collapsed="false">
      <c r="B8" s="69" t="s">
        <v>161</v>
      </c>
      <c r="C8" s="80" t="s">
        <v>162</v>
      </c>
      <c r="D8" s="81" t="s">
        <v>163</v>
      </c>
      <c r="E8" s="69" t="s">
        <v>164</v>
      </c>
      <c r="F8" s="82" t="s">
        <v>165</v>
      </c>
    </row>
    <row r="9" customFormat="false" ht="19.5" hidden="false" customHeight="true" outlineLevel="0" collapsed="false">
      <c r="B9" s="39" t="s">
        <v>166</v>
      </c>
      <c r="C9" s="43" t="s">
        <v>167</v>
      </c>
      <c r="D9" s="83" t="s">
        <v>168</v>
      </c>
      <c r="E9" s="39" t="s">
        <v>169</v>
      </c>
      <c r="F9" s="79" t="s">
        <v>170</v>
      </c>
    </row>
    <row r="10" customFormat="false" ht="19.5" hidden="false" customHeight="true" outlineLevel="0" collapsed="false">
      <c r="B10" s="46" t="s">
        <v>171</v>
      </c>
      <c r="C10" s="47" t="s">
        <v>157</v>
      </c>
      <c r="D10" s="84" t="s">
        <v>158</v>
      </c>
      <c r="E10" s="85" t="s">
        <v>159</v>
      </c>
      <c r="F10" s="86" t="s">
        <v>172</v>
      </c>
    </row>
    <row r="11" customFormat="false" ht="19.5" hidden="false" customHeight="true" outlineLevel="0" collapsed="false">
      <c r="B11" s="42" t="s">
        <v>173</v>
      </c>
      <c r="C11" s="43" t="s">
        <v>174</v>
      </c>
      <c r="D11" s="77" t="s">
        <v>175</v>
      </c>
      <c r="E11" s="78" t="s">
        <v>176</v>
      </c>
      <c r="F11" s="79" t="s">
        <v>177</v>
      </c>
    </row>
    <row r="13" customFormat="false" ht="15.75" hidden="false" customHeight="true" outlineLevel="0" collapsed="false">
      <c r="B13" s="53" t="s">
        <v>178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customFormat="false" ht="15.75" hidden="false" customHeight="true" outlineLevel="0" collapsed="false">
      <c r="B14" s="42" t="s">
        <v>179</v>
      </c>
      <c r="C14" s="87" t="n">
        <v>100</v>
      </c>
      <c r="D14" s="43" t="s">
        <v>180</v>
      </c>
      <c r="E14" s="88" t="s">
        <v>181</v>
      </c>
    </row>
    <row r="15" customFormat="false" ht="15.75" hidden="false" customHeight="true" outlineLevel="0" collapsed="false">
      <c r="B15" s="42" t="s">
        <v>182</v>
      </c>
      <c r="C15" s="87" t="n">
        <v>30</v>
      </c>
      <c r="D15" s="43" t="s">
        <v>183</v>
      </c>
      <c r="E15" s="88" t="s">
        <v>184</v>
      </c>
    </row>
    <row r="16" customFormat="false" ht="15.75" hidden="false" customHeight="true" outlineLevel="0" collapsed="false">
      <c r="B16" s="42" t="s">
        <v>185</v>
      </c>
      <c r="C16" s="89" t="n">
        <v>0.035</v>
      </c>
      <c r="D16" s="43" t="s">
        <v>186</v>
      </c>
      <c r="E16" s="88" t="s">
        <v>187</v>
      </c>
    </row>
    <row r="17" customFormat="false" ht="15.75" hidden="false" customHeight="true" outlineLevel="0" collapsed="false">
      <c r="B17" s="39" t="s">
        <v>188</v>
      </c>
      <c r="C17" s="73" t="n">
        <f aca="false">C14*C15</f>
        <v>3000</v>
      </c>
      <c r="D17" s="43" t="s">
        <v>189</v>
      </c>
    </row>
    <row r="18" customFormat="false" ht="15.75" hidden="false" customHeight="true" outlineLevel="0" collapsed="false">
      <c r="B18" s="69" t="s">
        <v>190</v>
      </c>
      <c r="C18" s="58" t="n">
        <f aca="false">C17*C16</f>
        <v>105</v>
      </c>
      <c r="D18" s="43" t="s">
        <v>191</v>
      </c>
      <c r="E18" s="90" t="s">
        <v>192</v>
      </c>
    </row>
    <row r="20" customFormat="false" ht="18" hidden="false" customHeight="true" outlineLevel="0" collapsed="false">
      <c r="B20" s="67" t="s">
        <v>193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</row>
    <row r="21" customFormat="false" ht="21.75" hidden="false" customHeight="true" outlineLevel="0" collapsed="false">
      <c r="B21" s="40" t="s">
        <v>194</v>
      </c>
      <c r="C21" s="91" t="s">
        <v>195</v>
      </c>
      <c r="D21" s="91"/>
      <c r="E21" s="91"/>
      <c r="F21" s="91"/>
      <c r="G21" s="91"/>
      <c r="H21" s="91"/>
      <c r="I21" s="91"/>
      <c r="J21" s="91"/>
      <c r="K21" s="91"/>
      <c r="L21" s="91"/>
    </row>
    <row r="22" customFormat="false" ht="21.75" hidden="false" customHeight="true" outlineLevel="0" collapsed="false">
      <c r="B22" s="92" t="s">
        <v>196</v>
      </c>
      <c r="C22" s="93" t="s">
        <v>197</v>
      </c>
      <c r="D22" s="93"/>
      <c r="E22" s="93"/>
      <c r="F22" s="93"/>
      <c r="G22" s="93"/>
      <c r="H22" s="93"/>
      <c r="I22" s="93"/>
      <c r="J22" s="93"/>
      <c r="K22" s="93"/>
      <c r="L22" s="93"/>
    </row>
    <row r="23" customFormat="false" ht="21.75" hidden="false" customHeight="true" outlineLevel="0" collapsed="false">
      <c r="B23" s="40" t="s">
        <v>198</v>
      </c>
      <c r="C23" s="91" t="s">
        <v>199</v>
      </c>
      <c r="D23" s="91"/>
      <c r="E23" s="91"/>
      <c r="F23" s="91"/>
      <c r="G23" s="91"/>
      <c r="H23" s="91"/>
      <c r="I23" s="91"/>
      <c r="J23" s="91"/>
      <c r="K23" s="91"/>
      <c r="L23" s="91"/>
    </row>
    <row r="24" customFormat="false" ht="21.75" hidden="false" customHeight="true" outlineLevel="0" collapsed="false">
      <c r="B24" s="92" t="s">
        <v>200</v>
      </c>
      <c r="C24" s="93" t="s">
        <v>201</v>
      </c>
      <c r="D24" s="93"/>
      <c r="E24" s="93"/>
      <c r="F24" s="93"/>
      <c r="G24" s="93"/>
      <c r="H24" s="93"/>
      <c r="I24" s="93"/>
      <c r="J24" s="93"/>
      <c r="K24" s="93"/>
      <c r="L24" s="93"/>
    </row>
    <row r="25" customFormat="false" ht="21.75" hidden="false" customHeight="true" outlineLevel="0" collapsed="false">
      <c r="B25" s="40" t="s">
        <v>202</v>
      </c>
      <c r="C25" s="91" t="s">
        <v>203</v>
      </c>
      <c r="D25" s="91"/>
      <c r="E25" s="91"/>
      <c r="F25" s="91"/>
      <c r="G25" s="91"/>
      <c r="H25" s="91"/>
      <c r="I25" s="91"/>
      <c r="J25" s="91"/>
      <c r="K25" s="91"/>
      <c r="L25" s="91"/>
    </row>
    <row r="26" customFormat="false" ht="21.75" hidden="false" customHeight="true" outlineLevel="0" collapsed="false">
      <c r="B26" s="92" t="s">
        <v>204</v>
      </c>
      <c r="C26" s="93" t="s">
        <v>205</v>
      </c>
      <c r="D26" s="93"/>
      <c r="E26" s="93"/>
      <c r="F26" s="93"/>
      <c r="G26" s="93"/>
      <c r="H26" s="93"/>
      <c r="I26" s="93"/>
      <c r="J26" s="93"/>
      <c r="K26" s="93"/>
      <c r="L26" s="93"/>
    </row>
  </sheetData>
  <mergeCells count="10">
    <mergeCell ref="B2:L3"/>
    <mergeCell ref="B5:L5"/>
    <mergeCell ref="B13:L13"/>
    <mergeCell ref="B20:L20"/>
    <mergeCell ref="C21:L21"/>
    <mergeCell ref="C22:L22"/>
    <mergeCell ref="C23:L23"/>
    <mergeCell ref="C24:L24"/>
    <mergeCell ref="C25:L25"/>
    <mergeCell ref="C26:L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6" hidden="false" customHeight="true" outlineLevel="0" collapsed="false"/>
    <row r="2" customFormat="false" ht="24" hidden="false" customHeight="true" outlineLevel="0" collapsed="false">
      <c r="B2" s="37" t="s">
        <v>206</v>
      </c>
      <c r="C2" s="37"/>
      <c r="D2" s="37"/>
      <c r="E2" s="37"/>
      <c r="F2" s="37"/>
      <c r="G2" s="37"/>
      <c r="H2" s="37"/>
      <c r="I2" s="37"/>
      <c r="J2" s="37"/>
    </row>
    <row r="3" customFormat="false" ht="24" hidden="false" customHeight="true" outlineLevel="0" collapsed="false">
      <c r="B3" s="37"/>
      <c r="C3" s="37"/>
      <c r="D3" s="37"/>
      <c r="E3" s="37"/>
      <c r="F3" s="37"/>
      <c r="G3" s="37"/>
      <c r="H3" s="37"/>
      <c r="I3" s="37"/>
      <c r="J3" s="37"/>
    </row>
    <row r="5" customFormat="false" ht="27.75" hidden="false" customHeight="true" outlineLevel="0" collapsed="false">
      <c r="B5" s="54" t="s">
        <v>207</v>
      </c>
      <c r="C5" s="54" t="s">
        <v>208</v>
      </c>
      <c r="D5" s="54" t="s">
        <v>209</v>
      </c>
      <c r="E5" s="54" t="s">
        <v>210</v>
      </c>
      <c r="F5" s="54" t="s">
        <v>211</v>
      </c>
      <c r="G5" s="54" t="s">
        <v>212</v>
      </c>
    </row>
    <row r="6" customFormat="false" ht="19.5" hidden="false" customHeight="true" outlineLevel="0" collapsed="false">
      <c r="B6" s="39" t="s">
        <v>213</v>
      </c>
      <c r="C6" s="14" t="s">
        <v>214</v>
      </c>
      <c r="D6" s="94" t="s">
        <v>215</v>
      </c>
      <c r="E6" s="95" t="s">
        <v>216</v>
      </c>
      <c r="F6" s="96" t="s">
        <v>217</v>
      </c>
      <c r="G6" s="97" t="s">
        <v>218</v>
      </c>
    </row>
    <row r="7" customFormat="false" ht="19.5" hidden="false" customHeight="true" outlineLevel="0" collapsed="false">
      <c r="B7" s="45" t="s">
        <v>219</v>
      </c>
      <c r="C7" s="32" t="s">
        <v>220</v>
      </c>
      <c r="D7" s="98" t="s">
        <v>215</v>
      </c>
      <c r="E7" s="98" t="s">
        <v>215</v>
      </c>
      <c r="F7" s="98" t="s">
        <v>215</v>
      </c>
      <c r="G7" s="99" t="s">
        <v>216</v>
      </c>
    </row>
    <row r="8" customFormat="false" ht="19.5" hidden="false" customHeight="true" outlineLevel="0" collapsed="false">
      <c r="B8" s="39" t="s">
        <v>221</v>
      </c>
      <c r="C8" s="14" t="s">
        <v>222</v>
      </c>
      <c r="D8" s="94" t="s">
        <v>215</v>
      </c>
      <c r="E8" s="95" t="s">
        <v>216</v>
      </c>
      <c r="F8" s="94" t="s">
        <v>215</v>
      </c>
      <c r="G8" s="95" t="s">
        <v>216</v>
      </c>
    </row>
    <row r="9" customFormat="false" ht="19.5" hidden="false" customHeight="true" outlineLevel="0" collapsed="false">
      <c r="B9" s="45" t="s">
        <v>223</v>
      </c>
      <c r="C9" s="32" t="s">
        <v>224</v>
      </c>
      <c r="D9" s="98" t="s">
        <v>215</v>
      </c>
      <c r="E9" s="99" t="s">
        <v>216</v>
      </c>
      <c r="F9" s="100" t="s">
        <v>217</v>
      </c>
      <c r="G9" s="99" t="s">
        <v>216</v>
      </c>
    </row>
    <row r="10" customFormat="false" ht="19.5" hidden="false" customHeight="true" outlineLevel="0" collapsed="false">
      <c r="B10" s="39" t="s">
        <v>225</v>
      </c>
      <c r="C10" s="14" t="s">
        <v>226</v>
      </c>
      <c r="D10" s="95" t="s">
        <v>216</v>
      </c>
      <c r="E10" s="96" t="s">
        <v>217</v>
      </c>
      <c r="F10" s="96" t="s">
        <v>217</v>
      </c>
      <c r="G10" s="94" t="s">
        <v>215</v>
      </c>
    </row>
    <row r="11" customFormat="false" ht="19.5" hidden="false" customHeight="true" outlineLevel="0" collapsed="false">
      <c r="B11" s="45" t="s">
        <v>227</v>
      </c>
      <c r="C11" s="32" t="s">
        <v>228</v>
      </c>
      <c r="D11" s="98" t="s">
        <v>215</v>
      </c>
      <c r="E11" s="98" t="s">
        <v>215</v>
      </c>
      <c r="F11" s="98" t="s">
        <v>215</v>
      </c>
      <c r="G11" s="101" t="s">
        <v>218</v>
      </c>
    </row>
    <row r="12" customFormat="false" ht="19.5" hidden="false" customHeight="true" outlineLevel="0" collapsed="false">
      <c r="B12" s="39" t="s">
        <v>229</v>
      </c>
      <c r="C12" s="14" t="s">
        <v>230</v>
      </c>
      <c r="D12" s="94" t="s">
        <v>215</v>
      </c>
      <c r="E12" s="96" t="s">
        <v>217</v>
      </c>
      <c r="F12" s="95" t="s">
        <v>216</v>
      </c>
      <c r="G12" s="95" t="s">
        <v>216</v>
      </c>
    </row>
    <row r="13" customFormat="false" ht="19.5" hidden="false" customHeight="true" outlineLevel="0" collapsed="false">
      <c r="B13" s="45" t="s">
        <v>231</v>
      </c>
      <c r="C13" s="32" t="s">
        <v>232</v>
      </c>
      <c r="D13" s="98" t="s">
        <v>215</v>
      </c>
      <c r="E13" s="100" t="s">
        <v>217</v>
      </c>
      <c r="F13" s="98" t="s">
        <v>215</v>
      </c>
      <c r="G13" s="99" t="s">
        <v>216</v>
      </c>
    </row>
    <row r="14" customFormat="false" ht="19.5" hidden="false" customHeight="true" outlineLevel="0" collapsed="false">
      <c r="B14" s="39" t="s">
        <v>233</v>
      </c>
      <c r="C14" s="14" t="s">
        <v>234</v>
      </c>
      <c r="D14" s="94" t="s">
        <v>215</v>
      </c>
      <c r="E14" s="96" t="s">
        <v>217</v>
      </c>
      <c r="F14" s="96" t="s">
        <v>217</v>
      </c>
      <c r="G14" s="95" t="s">
        <v>216</v>
      </c>
    </row>
    <row r="15" customFormat="false" ht="19.5" hidden="false" customHeight="true" outlineLevel="0" collapsed="false">
      <c r="B15" s="45" t="s">
        <v>235</v>
      </c>
      <c r="C15" s="32" t="s">
        <v>236</v>
      </c>
      <c r="D15" s="98" t="s">
        <v>215</v>
      </c>
      <c r="E15" s="99" t="s">
        <v>216</v>
      </c>
      <c r="F15" s="98" t="s">
        <v>215</v>
      </c>
      <c r="G15" s="101" t="s">
        <v>218</v>
      </c>
    </row>
    <row r="16" customFormat="false" ht="19.5" hidden="false" customHeight="true" outlineLevel="0" collapsed="false">
      <c r="B16" s="39" t="s">
        <v>237</v>
      </c>
      <c r="C16" s="14" t="s">
        <v>238</v>
      </c>
      <c r="D16" s="94" t="s">
        <v>215</v>
      </c>
      <c r="E16" s="94" t="s">
        <v>215</v>
      </c>
      <c r="F16" s="95" t="s">
        <v>216</v>
      </c>
      <c r="G16" s="97" t="s">
        <v>218</v>
      </c>
    </row>
    <row r="18" customFormat="false" ht="18" hidden="false" customHeight="true" outlineLevel="0" collapsed="false">
      <c r="B18" s="36" t="s">
        <v>239</v>
      </c>
      <c r="C18" s="36"/>
      <c r="D18" s="36"/>
      <c r="E18" s="36"/>
      <c r="F18" s="36"/>
      <c r="G18" s="36"/>
      <c r="H18" s="36"/>
      <c r="I18" s="36"/>
      <c r="J18" s="36"/>
    </row>
    <row r="19" customFormat="false" ht="18" hidden="false" customHeight="true" outlineLevel="0" collapsed="false">
      <c r="B19" s="36"/>
      <c r="C19" s="36"/>
      <c r="D19" s="36"/>
      <c r="E19" s="36"/>
      <c r="F19" s="36"/>
      <c r="G19" s="36"/>
      <c r="H19" s="36"/>
      <c r="I19" s="36"/>
      <c r="J19" s="36"/>
    </row>
  </sheetData>
  <mergeCells count="2">
    <mergeCell ref="B2:J3"/>
    <mergeCell ref="B18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55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8"/>
  </cols>
  <sheetData>
    <row r="1" customFormat="false" ht="6" hidden="false" customHeight="true" outlineLevel="0" collapsed="false"/>
    <row r="2" customFormat="false" ht="24" hidden="false" customHeight="true" outlineLevel="0" collapsed="false">
      <c r="B2" s="37" t="s">
        <v>240</v>
      </c>
      <c r="C2" s="37"/>
      <c r="D2" s="37"/>
      <c r="E2" s="37"/>
      <c r="F2" s="37"/>
      <c r="G2" s="37"/>
      <c r="H2" s="37"/>
      <c r="I2" s="37"/>
      <c r="J2" s="37"/>
    </row>
    <row r="3" customFormat="false" ht="24" hidden="false" customHeight="true" outlineLevel="0" collapsed="false">
      <c r="B3" s="37"/>
      <c r="C3" s="37"/>
      <c r="D3" s="37"/>
      <c r="E3" s="37"/>
      <c r="F3" s="37"/>
      <c r="G3" s="37"/>
      <c r="H3" s="37"/>
      <c r="I3" s="37"/>
      <c r="J3" s="37"/>
    </row>
    <row r="5" customFormat="false" ht="15.75" hidden="false" customHeight="true" outlineLevel="0" collapsed="false">
      <c r="B5" s="76" t="s">
        <v>241</v>
      </c>
      <c r="C5" s="76" t="s">
        <v>242</v>
      </c>
      <c r="D5" s="76" t="s">
        <v>243</v>
      </c>
      <c r="E5" s="76" t="s">
        <v>244</v>
      </c>
      <c r="F5" s="76" t="s">
        <v>245</v>
      </c>
      <c r="G5" s="76" t="s">
        <v>155</v>
      </c>
    </row>
    <row r="6" customFormat="false" ht="15.75" hidden="false" customHeight="true" outlineLevel="0" collapsed="false">
      <c r="B6" s="102" t="s">
        <v>246</v>
      </c>
      <c r="C6" s="102"/>
      <c r="D6" s="102"/>
      <c r="E6" s="102"/>
      <c r="F6" s="102"/>
      <c r="G6" s="102"/>
      <c r="H6" s="102"/>
      <c r="I6" s="102"/>
      <c r="J6" s="102"/>
    </row>
    <row r="7" customFormat="false" ht="24" hidden="false" customHeight="true" outlineLevel="0" collapsed="false">
      <c r="B7" s="92" t="s">
        <v>247</v>
      </c>
      <c r="C7" s="32" t="s">
        <v>248</v>
      </c>
      <c r="D7" s="47" t="s">
        <v>249</v>
      </c>
      <c r="E7" s="47" t="s">
        <v>250</v>
      </c>
      <c r="F7" s="81" t="s">
        <v>251</v>
      </c>
      <c r="G7" s="88" t="s">
        <v>252</v>
      </c>
    </row>
    <row r="8" customFormat="false" ht="24" hidden="false" customHeight="true" outlineLevel="0" collapsed="false">
      <c r="B8" s="40" t="s">
        <v>253</v>
      </c>
      <c r="C8" s="14" t="s">
        <v>254</v>
      </c>
      <c r="D8" s="43" t="s">
        <v>255</v>
      </c>
      <c r="E8" s="43" t="s">
        <v>250</v>
      </c>
      <c r="F8" s="81" t="s">
        <v>251</v>
      </c>
      <c r="G8" s="103" t="s">
        <v>256</v>
      </c>
    </row>
    <row r="9" customFormat="false" ht="24" hidden="false" customHeight="true" outlineLevel="0" collapsed="false">
      <c r="B9" s="92" t="s">
        <v>257</v>
      </c>
      <c r="C9" s="32" t="s">
        <v>258</v>
      </c>
      <c r="D9" s="47" t="s">
        <v>259</v>
      </c>
      <c r="E9" s="47" t="s">
        <v>250</v>
      </c>
      <c r="F9" s="81" t="s">
        <v>251</v>
      </c>
      <c r="G9" s="88" t="s">
        <v>260</v>
      </c>
    </row>
    <row r="10" customFormat="false" ht="24" hidden="false" customHeight="true" outlineLevel="0" collapsed="false">
      <c r="B10" s="40" t="s">
        <v>261</v>
      </c>
      <c r="C10" s="14" t="s">
        <v>262</v>
      </c>
      <c r="D10" s="43" t="s">
        <v>263</v>
      </c>
      <c r="E10" s="43" t="s">
        <v>250</v>
      </c>
      <c r="F10" s="81" t="s">
        <v>251</v>
      </c>
      <c r="G10" s="103" t="s">
        <v>264</v>
      </c>
    </row>
    <row r="11" customFormat="false" ht="24" hidden="false" customHeight="true" outlineLevel="0" collapsed="false">
      <c r="B11" s="92" t="s">
        <v>265</v>
      </c>
      <c r="C11" s="32" t="s">
        <v>266</v>
      </c>
      <c r="D11" s="47" t="s">
        <v>263</v>
      </c>
      <c r="E11" s="47" t="s">
        <v>250</v>
      </c>
      <c r="F11" s="81" t="s">
        <v>251</v>
      </c>
      <c r="G11" s="88" t="s">
        <v>267</v>
      </c>
    </row>
    <row r="12" customFormat="false" ht="24" hidden="false" customHeight="true" outlineLevel="0" collapsed="false">
      <c r="B12" s="40" t="s">
        <v>268</v>
      </c>
      <c r="C12" s="14" t="s">
        <v>269</v>
      </c>
      <c r="D12" s="43" t="s">
        <v>270</v>
      </c>
      <c r="E12" s="43" t="s">
        <v>250</v>
      </c>
      <c r="F12" s="81" t="s">
        <v>251</v>
      </c>
      <c r="G12" s="103" t="s">
        <v>271</v>
      </c>
    </row>
    <row r="13" customFormat="false" ht="15.75" hidden="false" customHeight="true" outlineLevel="0" collapsed="false">
      <c r="B13" s="102" t="s">
        <v>272</v>
      </c>
      <c r="C13" s="102"/>
      <c r="D13" s="102"/>
      <c r="E13" s="102"/>
      <c r="F13" s="102"/>
      <c r="G13" s="102"/>
      <c r="H13" s="102"/>
      <c r="I13" s="102"/>
      <c r="J13" s="102"/>
    </row>
    <row r="14" customFormat="false" ht="24" hidden="false" customHeight="true" outlineLevel="0" collapsed="false">
      <c r="B14" s="92" t="s">
        <v>273</v>
      </c>
      <c r="C14" s="32" t="s">
        <v>274</v>
      </c>
      <c r="D14" s="47" t="s">
        <v>275</v>
      </c>
      <c r="E14" s="47" t="s">
        <v>276</v>
      </c>
      <c r="F14" s="81" t="s">
        <v>251</v>
      </c>
      <c r="G14" s="88" t="s">
        <v>277</v>
      </c>
    </row>
    <row r="15" customFormat="false" ht="24" hidden="false" customHeight="true" outlineLevel="0" collapsed="false">
      <c r="B15" s="40" t="s">
        <v>278</v>
      </c>
      <c r="C15" s="14" t="s">
        <v>279</v>
      </c>
      <c r="D15" s="43" t="s">
        <v>280</v>
      </c>
      <c r="E15" s="43" t="s">
        <v>276</v>
      </c>
      <c r="F15" s="81" t="s">
        <v>251</v>
      </c>
      <c r="G15" s="103" t="s">
        <v>281</v>
      </c>
    </row>
    <row r="16" customFormat="false" ht="24" hidden="false" customHeight="true" outlineLevel="0" collapsed="false">
      <c r="B16" s="92" t="s">
        <v>110</v>
      </c>
      <c r="C16" s="32" t="s">
        <v>282</v>
      </c>
      <c r="D16" s="47" t="s">
        <v>280</v>
      </c>
      <c r="E16" s="47" t="s">
        <v>276</v>
      </c>
      <c r="F16" s="81" t="s">
        <v>251</v>
      </c>
      <c r="G16" s="88" t="s">
        <v>283</v>
      </c>
    </row>
    <row r="17" customFormat="false" ht="24" hidden="false" customHeight="true" outlineLevel="0" collapsed="false">
      <c r="B17" s="40" t="s">
        <v>284</v>
      </c>
      <c r="C17" s="14" t="s">
        <v>285</v>
      </c>
      <c r="D17" s="43" t="s">
        <v>286</v>
      </c>
      <c r="E17" s="43" t="s">
        <v>276</v>
      </c>
      <c r="F17" s="81" t="s">
        <v>251</v>
      </c>
      <c r="G17" s="103" t="s">
        <v>287</v>
      </c>
    </row>
    <row r="18" customFormat="false" ht="24" hidden="false" customHeight="true" outlineLevel="0" collapsed="false">
      <c r="B18" s="92" t="s">
        <v>288</v>
      </c>
      <c r="C18" s="32" t="s">
        <v>289</v>
      </c>
      <c r="D18" s="47" t="s">
        <v>290</v>
      </c>
      <c r="E18" s="47" t="s">
        <v>291</v>
      </c>
      <c r="F18" s="81" t="s">
        <v>251</v>
      </c>
      <c r="G18" s="88" t="s">
        <v>292</v>
      </c>
    </row>
    <row r="19" customFormat="false" ht="15.75" hidden="false" customHeight="true" outlineLevel="0" collapsed="false">
      <c r="B19" s="102" t="s">
        <v>293</v>
      </c>
      <c r="C19" s="102"/>
      <c r="D19" s="102"/>
      <c r="E19" s="102"/>
      <c r="F19" s="102"/>
      <c r="G19" s="102"/>
      <c r="H19" s="102"/>
      <c r="I19" s="102"/>
      <c r="J19" s="102"/>
    </row>
    <row r="20" customFormat="false" ht="24" hidden="false" customHeight="true" outlineLevel="0" collapsed="false">
      <c r="B20" s="40" t="s">
        <v>111</v>
      </c>
      <c r="C20" s="14" t="s">
        <v>294</v>
      </c>
      <c r="D20" s="43" t="s">
        <v>295</v>
      </c>
      <c r="E20" s="43" t="s">
        <v>296</v>
      </c>
      <c r="F20" s="81" t="s">
        <v>251</v>
      </c>
      <c r="G20" s="103" t="s">
        <v>297</v>
      </c>
    </row>
    <row r="21" customFormat="false" ht="24" hidden="false" customHeight="true" outlineLevel="0" collapsed="false">
      <c r="B21" s="92" t="s">
        <v>298</v>
      </c>
      <c r="C21" s="32" t="s">
        <v>299</v>
      </c>
      <c r="D21" s="47" t="s">
        <v>280</v>
      </c>
      <c r="E21" s="47" t="s">
        <v>300</v>
      </c>
      <c r="F21" s="81" t="s">
        <v>251</v>
      </c>
      <c r="G21" s="88" t="s">
        <v>301</v>
      </c>
    </row>
    <row r="22" customFormat="false" ht="24" hidden="false" customHeight="true" outlineLevel="0" collapsed="false">
      <c r="B22" s="40" t="s">
        <v>302</v>
      </c>
      <c r="C22" s="14" t="s">
        <v>303</v>
      </c>
      <c r="D22" s="43" t="s">
        <v>304</v>
      </c>
      <c r="E22" s="43" t="s">
        <v>305</v>
      </c>
      <c r="F22" s="81" t="s">
        <v>251</v>
      </c>
      <c r="G22" s="103" t="s">
        <v>306</v>
      </c>
    </row>
  </sheetData>
  <mergeCells count="4">
    <mergeCell ref="B2:J3"/>
    <mergeCell ref="B6:J6"/>
    <mergeCell ref="B13:J13"/>
    <mergeCell ref="B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2026-05-14T21:46:07Z</dcterms:created>
  <dc:creator>openpyxl</dc:creator>
  <dc:description/>
  <dc:language>en-US</dc:language>
  <cp:lastModifiedBy/>
  <dcterms:modified xsi:type="dcterms:W3CDTF">2026-05-14T21:46:07Z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