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Hourly Distribution" sheetId="2" state="visible" r:id="rId4"/>
    <sheet name="Per-Hour Volume" sheetId="3" state="visible" r:id="rId5"/>
    <sheet name="By Date Typ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<sst xmlns="http://schemas.openxmlformats.org/spreadsheetml/2006/main" count="118" uniqueCount="65">
  <si>
    <t xml:space="preserve">DataHub – API Volume Assumptions</t>
  </si>
  <si>
    <t xml:space="preserve">User &amp; Concurrency Parameters</t>
  </si>
  <si>
    <t xml:space="preserve">Max UI Users</t>
  </si>
  <si>
    <t xml:space="preserve">users</t>
  </si>
  <si>
    <t xml:space="preserve">Concurrent Users (JMeter)</t>
  </si>
  <si>
    <t xml:space="preserve">Concurrent Calls per User</t>
  </si>
  <si>
    <t xml:space="preserve">calls</t>
  </si>
  <si>
    <t xml:space="preserve">Avg Accounts per Client</t>
  </si>
  <si>
    <t xml:space="preserve">accounts</t>
  </si>
  <si>
    <t xml:space="preserve">Business Hours per Day</t>
  </si>
  <si>
    <t xml:space="preserve">hours</t>
  </si>
  <si>
    <t xml:space="preserve">Avg Calls Per Hour (all APIs)</t>
  </si>
  <si>
    <t xml:space="preserve">API Daily Call Volumes &amp; Date Type Distribution</t>
  </si>
  <si>
    <t xml:space="preserve">API Name</t>
  </si>
  <si>
    <t xml:space="preserve">Daily Calls</t>
  </si>
  <si>
    <t xml:space="preserve">% of Total</t>
  </si>
  <si>
    <t xml:space="preserve">Same Day %</t>
  </si>
  <si>
    <t xml:space="preserve">Prior Day %</t>
  </si>
  <si>
    <t xml:space="preserve">MTD %</t>
  </si>
  <si>
    <t xml:space="preserve">Prior Month %</t>
  </si>
  <si>
    <t xml:space="preserve">Custom %</t>
  </si>
  <si>
    <t xml:space="preserve">Balance Position Report</t>
  </si>
  <si>
    <t xml:space="preserve">Daily Statement Report (Detail + Summary)</t>
  </si>
  <si>
    <t xml:space="preserve">User Defined Report</t>
  </si>
  <si>
    <t xml:space="preserve">Transaction Search</t>
  </si>
  <si>
    <t xml:space="preserve">TOTAL</t>
  </si>
  <si>
    <t xml:space="preserve">—</t>
  </si>
  <si>
    <t xml:space="preserve">Hourly Load Distribution (% of Daily Volume per API)</t>
  </si>
  <si>
    <t xml:space="preserve">API / Category</t>
  </si>
  <si>
    <t xml:space="preserve">8:00 AM</t>
  </si>
  <si>
    <t xml:space="preserve">9:00 AM</t>
  </si>
  <si>
    <t xml:space="preserve">10:00 AM</t>
  </si>
  <si>
    <t xml:space="preserve">11:00 AM</t>
  </si>
  <si>
    <t xml:space="preserve">12:00 PM</t>
  </si>
  <si>
    <t xml:space="preserve">1:00 PM</t>
  </si>
  <si>
    <t xml:space="preserve">2:00 PM</t>
  </si>
  <si>
    <t xml:space="preserve">3:00 PM</t>
  </si>
  <si>
    <t xml:space="preserve">4:00 PM</t>
  </si>
  <si>
    <t xml:space="preserve">5:00 PM</t>
  </si>
  <si>
    <t xml:space="preserve">Reports Subtotal</t>
  </si>
  <si>
    <t xml:space="preserve">  Balance Position Report</t>
  </si>
  <si>
    <t xml:space="preserve">  Daily Statement Report (Detail + Summary)</t>
  </si>
  <si>
    <t xml:space="preserve">  User Defined Report</t>
  </si>
  <si>
    <t xml:space="preserve">  Transaction Search</t>
  </si>
  <si>
    <t xml:space="preserve">Note: Reports Subtotal = Balance Position + Daily Statement + User Defined.  Reports% + Search% = 100% at each hour.</t>
  </si>
  <si>
    <t xml:space="preserve">DataHub – Per-Hour API Call Volume (All Types Combined)</t>
  </si>
  <si>
    <t xml:space="preserve">Formula: (Hour % ÷ Sum of Hour %) × Daily Volume  |  Source data: Assumptions &amp; Hourly Distribution sheets</t>
  </si>
  <si>
    <t xml:space="preserve">API</t>
  </si>
  <si>
    <t xml:space="preserve">Daily Total</t>
  </si>
  <si>
    <t xml:space="preserve">TOTAL CALLS PER HOUR</t>
  </si>
  <si>
    <t xml:space="preserve">Peak: Reports-heavy → 8AM / 9AM / 5PM     |     Search-heavy → 12PM / 1PM / 2PM</t>
  </si>
  <si>
    <t xml:space="preserve">DataHub – Per-Hour Volume by API &amp; Date Type</t>
  </si>
  <si>
    <t xml:space="preserve">Formula: Per-Hour Volume (Sheet 3) × Date Type %  (Source: Assumptions sheet)</t>
  </si>
  <si>
    <t xml:space="preserve">Date Type</t>
  </si>
  <si>
    <t xml:space="preserve">Same Day</t>
  </si>
  <si>
    <t xml:space="preserve">Prior Day</t>
  </si>
  <si>
    <t xml:space="preserve">MTD</t>
  </si>
  <si>
    <t xml:space="preserve">Prior Month</t>
  </si>
  <si>
    <t xml:space="preserve">Custom</t>
  </si>
  <si>
    <t xml:space="preserve">Balance Position Report – Subtotal</t>
  </si>
  <si>
    <t xml:space="preserve">All Types</t>
  </si>
  <si>
    <t xml:space="preserve">Daily Statement Report (Detail + Summary) – Subtotal</t>
  </si>
  <si>
    <t xml:space="preserve">User Defined Report – Subtotal</t>
  </si>
  <si>
    <t xml:space="preserve">Transaction Search – Subtotal</t>
  </si>
  <si>
    <t xml:space="preserve">GRAND TOTAL – ALL APIS ALL DATE TYPES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</si>
</sst>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8B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i val="true"/>
      <sz val="9"/>
      <color rgb="FF00008B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DEEAF1"/>
      </patternFill>
    </fill>
    <fill>
      <patternFill patternType="solid">
        <fgColor rgb="FFBDD7EE"/>
        <bgColor rgb="FFD9D9D9"/>
      </patternFill>
    </fill>
    <fill>
      <patternFill patternType="solid">
        <fgColor rgb="FFF2F2F2"/>
        <bgColor rgb="FFDEEAF1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DEEAF1"/>
        <bgColor rgb="FFF2F2F2"/>
      </patternFill>
    </fill>
    <fill>
      <patternFill patternType="solid">
        <fgColor rgb="FFFFE699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B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D9D9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8" min="4" style="0" width="13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8" hidden="false" customHeight="true" outlineLevel="0" collapsed="false">
      <c r="A3" s="2" t="s">
        <v>1</v>
      </c>
      <c r="B3" s="2"/>
      <c r="C3" s="2"/>
    </row>
    <row r="4" customFormat="false" ht="15.75" hidden="false" customHeight="true" outlineLevel="0" collapsed="false">
      <c r="A4" s="3" t="s">
        <v>2</v>
      </c>
      <c r="B4" s="4" t="n">
        <v>7500</v>
      </c>
      <c r="C4" s="5" t="s">
        <v>3</v>
      </c>
    </row>
    <row r="5" customFormat="false" ht="15" hidden="false" customHeight="false" outlineLevel="0" collapsed="false">
      <c r="A5" s="6" t="s">
        <v>4</v>
      </c>
      <c r="B5" s="7" t="n">
        <v>250</v>
      </c>
      <c r="C5" s="8" t="s">
        <v>3</v>
      </c>
    </row>
    <row r="6" customFormat="false" ht="15" hidden="false" customHeight="false" outlineLevel="0" collapsed="false">
      <c r="A6" s="3" t="s">
        <v>5</v>
      </c>
      <c r="B6" s="4" t="n">
        <v>30</v>
      </c>
      <c r="C6" s="5" t="s">
        <v>6</v>
      </c>
    </row>
    <row r="7" customFormat="false" ht="15" hidden="false" customHeight="false" outlineLevel="0" collapsed="false">
      <c r="A7" s="6" t="s">
        <v>7</v>
      </c>
      <c r="B7" s="7" t="n">
        <v>11</v>
      </c>
      <c r="C7" s="8" t="s">
        <v>8</v>
      </c>
    </row>
    <row r="8" customFormat="false" ht="15" hidden="false" customHeight="false" outlineLevel="0" collapsed="false">
      <c r="A8" s="3" t="s">
        <v>9</v>
      </c>
      <c r="B8" s="4" t="n">
        <v>10</v>
      </c>
      <c r="C8" s="5" t="s">
        <v>10</v>
      </c>
    </row>
    <row r="9" customFormat="false" ht="15" hidden="false" customHeight="false" outlineLevel="0" collapsed="false">
      <c r="A9" s="9" t="s">
        <v>11</v>
      </c>
      <c r="B9" s="10" t="n">
        <f aca="false">B16/B8</f>
        <v>5625</v>
      </c>
      <c r="C9" s="11"/>
    </row>
    <row r="11" customFormat="false" ht="18" hidden="false" customHeight="true" outlineLevel="0" collapsed="false">
      <c r="A11" s="2" t="s">
        <v>12</v>
      </c>
      <c r="B11" s="2"/>
      <c r="C11" s="2"/>
      <c r="D11" s="2"/>
      <c r="E11" s="2"/>
      <c r="F11" s="2"/>
      <c r="G11" s="2"/>
      <c r="H11" s="2"/>
    </row>
    <row r="12" customFormat="false" ht="15" hidden="false" customHeight="false" outlineLevel="0" collapsed="false">
      <c r="A12" s="12" t="s">
        <v>13</v>
      </c>
      <c r="B12" s="12" t="s">
        <v>14</v>
      </c>
      <c r="C12" s="12" t="s">
        <v>15</v>
      </c>
      <c r="D12" s="12" t="s">
        <v>16</v>
      </c>
      <c r="E12" s="12" t="s">
        <v>17</v>
      </c>
      <c r="F12" s="12" t="s">
        <v>18</v>
      </c>
      <c r="G12" s="12" t="s">
        <v>19</v>
      </c>
      <c r="H12" s="12" t="s">
        <v>20</v>
      </c>
    </row>
    <row r="13" customFormat="false" ht="15" hidden="false" customHeight="false" outlineLevel="0" collapsed="false">
      <c r="A13" s="6" t="s">
        <v>21</v>
      </c>
      <c r="B13" s="7" t="n">
        <v>28125</v>
      </c>
      <c r="C13" s="13" t="n">
        <f aca="false">B13/SUM($B$13:$B$16)</f>
        <v>0.166666666666667</v>
      </c>
      <c r="D13" s="14" t="n">
        <v>0.35</v>
      </c>
      <c r="E13" s="14" t="n">
        <v>0.35</v>
      </c>
      <c r="F13" s="14" t="n">
        <v>0.1</v>
      </c>
      <c r="G13" s="14" t="n">
        <v>0.1</v>
      </c>
      <c r="H13" s="14" t="n">
        <v>0.1</v>
      </c>
    </row>
    <row r="14" customFormat="false" ht="15" hidden="false" customHeight="false" outlineLevel="0" collapsed="false">
      <c r="A14" s="15" t="s">
        <v>22</v>
      </c>
      <c r="B14" s="16" t="n">
        <v>28125</v>
      </c>
      <c r="C14" s="17" t="n">
        <f aca="false">B14/SUM($B$13:$B$16)</f>
        <v>0.166666666666667</v>
      </c>
      <c r="D14" s="18" t="n">
        <v>0.35</v>
      </c>
      <c r="E14" s="18" t="n">
        <v>0.35</v>
      </c>
      <c r="F14" s="18" t="n">
        <v>0.1</v>
      </c>
      <c r="G14" s="18" t="n">
        <v>0.1</v>
      </c>
      <c r="H14" s="18" t="n">
        <v>0.1</v>
      </c>
    </row>
    <row r="15" customFormat="false" ht="15" hidden="false" customHeight="false" outlineLevel="0" collapsed="false">
      <c r="A15" s="6" t="s">
        <v>23</v>
      </c>
      <c r="B15" s="7" t="n">
        <v>56250</v>
      </c>
      <c r="C15" s="13" t="n">
        <f aca="false">B15/SUM($B$13:$B$16)</f>
        <v>0.333333333333333</v>
      </c>
      <c r="D15" s="14" t="n">
        <v>0.35</v>
      </c>
      <c r="E15" s="14" t="n">
        <v>0.35</v>
      </c>
      <c r="F15" s="14" t="n">
        <v>0.1</v>
      </c>
      <c r="G15" s="14" t="n">
        <v>0.1</v>
      </c>
      <c r="H15" s="14" t="n">
        <v>0.1</v>
      </c>
    </row>
    <row r="16" customFormat="false" ht="15" hidden="false" customHeight="false" outlineLevel="0" collapsed="false">
      <c r="A16" s="15" t="s">
        <v>24</v>
      </c>
      <c r="B16" s="16" t="n">
        <v>56250</v>
      </c>
      <c r="C16" s="17" t="n">
        <f aca="false">B16/SUM($B$13:$B$16)</f>
        <v>0.333333333333333</v>
      </c>
      <c r="D16" s="18" t="n">
        <v>0.05</v>
      </c>
      <c r="E16" s="18" t="n">
        <v>0.1</v>
      </c>
      <c r="F16" s="18" t="n">
        <v>0.25</v>
      </c>
      <c r="G16" s="18" t="n">
        <v>0.25</v>
      </c>
      <c r="H16" s="18" t="n">
        <v>0.35</v>
      </c>
    </row>
    <row r="17" customFormat="false" ht="15" hidden="false" customHeight="false" outlineLevel="0" collapsed="false">
      <c r="A17" s="19" t="s">
        <v>25</v>
      </c>
      <c r="B17" s="20" t="n">
        <f aca="false">SUM(B13:B16)</f>
        <v>168750</v>
      </c>
      <c r="C17" s="21" t="n">
        <f aca="false">SUM(C13:C16)</f>
        <v>1</v>
      </c>
      <c r="D17" s="19" t="s">
        <v>26</v>
      </c>
      <c r="E17" s="19" t="s">
        <v>26</v>
      </c>
      <c r="F17" s="19" t="s">
        <v>26</v>
      </c>
      <c r="G17" s="19" t="s">
        <v>26</v>
      </c>
      <c r="H17" s="19" t="s">
        <v>26</v>
      </c>
    </row>
  </sheetData>
  <mergeCells count="3">
    <mergeCell ref="A1:H1"/>
    <mergeCell ref="A3:C3"/>
    <mergeCell ref="A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11" min="2" style="0" width="11"/>
  </cols>
  <sheetData>
    <row r="1" customFormat="false" ht="21.75" hidden="false" customHeight="true" outlineLevel="0" collapsed="false">
      <c r="A1" s="1" t="s">
        <v>27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12" t="s">
        <v>28</v>
      </c>
      <c r="B2" s="12" t="s">
        <v>29</v>
      </c>
      <c r="C2" s="12" t="s">
        <v>30</v>
      </c>
      <c r="D2" s="12" t="s">
        <v>31</v>
      </c>
      <c r="E2" s="12" t="s">
        <v>32</v>
      </c>
      <c r="F2" s="12" t="s">
        <v>33</v>
      </c>
      <c r="G2" s="12" t="s">
        <v>34</v>
      </c>
      <c r="H2" s="12" t="s">
        <v>35</v>
      </c>
      <c r="I2" s="12" t="s">
        <v>36</v>
      </c>
      <c r="J2" s="12" t="s">
        <v>37</v>
      </c>
      <c r="K2" s="12" t="s">
        <v>38</v>
      </c>
    </row>
    <row r="3" customFormat="false" ht="15" hidden="false" customHeight="false" outlineLevel="0" collapsed="false">
      <c r="A3" s="22" t="s">
        <v>39</v>
      </c>
      <c r="B3" s="23" t="n">
        <v>0.8</v>
      </c>
      <c r="C3" s="23" t="n">
        <v>0.8</v>
      </c>
      <c r="D3" s="23" t="n">
        <v>0.7</v>
      </c>
      <c r="E3" s="23" t="n">
        <v>0.3</v>
      </c>
      <c r="F3" s="23" t="n">
        <v>0.2</v>
      </c>
      <c r="G3" s="23" t="n">
        <v>0.2</v>
      </c>
      <c r="H3" s="23" t="n">
        <v>0.2</v>
      </c>
      <c r="I3" s="23" t="n">
        <v>0.6</v>
      </c>
      <c r="J3" s="23" t="n">
        <v>0.7</v>
      </c>
      <c r="K3" s="23" t="n">
        <v>0.8</v>
      </c>
    </row>
    <row r="4" customFormat="false" ht="15" hidden="false" customHeight="false" outlineLevel="0" collapsed="false">
      <c r="A4" s="15" t="s">
        <v>40</v>
      </c>
      <c r="B4" s="18" t="n">
        <v>0.08</v>
      </c>
      <c r="C4" s="18" t="n">
        <v>0.08</v>
      </c>
      <c r="D4" s="18" t="n">
        <v>0.07</v>
      </c>
      <c r="E4" s="18" t="n">
        <v>0.03</v>
      </c>
      <c r="F4" s="18" t="n">
        <v>0.02</v>
      </c>
      <c r="G4" s="18" t="n">
        <v>0.02</v>
      </c>
      <c r="H4" s="18" t="n">
        <v>0.02</v>
      </c>
      <c r="I4" s="18" t="n">
        <v>0.06</v>
      </c>
      <c r="J4" s="18" t="n">
        <v>0.07</v>
      </c>
      <c r="K4" s="18" t="n">
        <v>0.08</v>
      </c>
    </row>
    <row r="5" customFormat="false" ht="23.85" hidden="false" customHeight="false" outlineLevel="0" collapsed="false">
      <c r="A5" s="15" t="s">
        <v>41</v>
      </c>
      <c r="B5" s="18" t="n">
        <v>0.24</v>
      </c>
      <c r="C5" s="18" t="n">
        <v>0.24</v>
      </c>
      <c r="D5" s="18" t="n">
        <v>0.21</v>
      </c>
      <c r="E5" s="18" t="n">
        <v>0.09</v>
      </c>
      <c r="F5" s="18" t="n">
        <v>0.06</v>
      </c>
      <c r="G5" s="18" t="n">
        <v>0.06</v>
      </c>
      <c r="H5" s="18" t="n">
        <v>0.06</v>
      </c>
      <c r="I5" s="18" t="n">
        <v>0.18</v>
      </c>
      <c r="J5" s="18" t="n">
        <v>0.21</v>
      </c>
      <c r="K5" s="18" t="n">
        <v>0.24</v>
      </c>
    </row>
    <row r="6" customFormat="false" ht="15" hidden="false" customHeight="false" outlineLevel="0" collapsed="false">
      <c r="A6" s="3" t="s">
        <v>42</v>
      </c>
      <c r="B6" s="24" t="n">
        <v>0.48</v>
      </c>
      <c r="C6" s="24" t="n">
        <v>0.48</v>
      </c>
      <c r="D6" s="24" t="n">
        <v>0.42</v>
      </c>
      <c r="E6" s="24" t="n">
        <v>0.18</v>
      </c>
      <c r="F6" s="24" t="n">
        <v>0.12</v>
      </c>
      <c r="G6" s="24" t="n">
        <v>0.12</v>
      </c>
      <c r="H6" s="24" t="n">
        <v>0.12</v>
      </c>
      <c r="I6" s="24" t="n">
        <v>0.36</v>
      </c>
      <c r="J6" s="24" t="n">
        <v>0.42</v>
      </c>
      <c r="K6" s="24" t="n">
        <v>0.48</v>
      </c>
    </row>
    <row r="7" customFormat="false" ht="15" hidden="false" customHeight="false" outlineLevel="0" collapsed="false">
      <c r="A7" s="11" t="s">
        <v>43</v>
      </c>
      <c r="B7" s="25" t="n">
        <v>0.2</v>
      </c>
      <c r="C7" s="25" t="n">
        <v>0.2</v>
      </c>
      <c r="D7" s="25" t="n">
        <v>0.3</v>
      </c>
      <c r="E7" s="25" t="n">
        <v>0.7</v>
      </c>
      <c r="F7" s="25" t="n">
        <v>0.8</v>
      </c>
      <c r="G7" s="25" t="n">
        <v>0.8</v>
      </c>
      <c r="H7" s="25" t="n">
        <v>0.8</v>
      </c>
      <c r="I7" s="25" t="n">
        <v>0.4</v>
      </c>
      <c r="J7" s="25" t="n">
        <v>0.3</v>
      </c>
      <c r="K7" s="25" t="n">
        <v>0.2</v>
      </c>
    </row>
    <row r="9" customFormat="false" ht="15" hidden="false" customHeight="true" outlineLevel="0" collapsed="false">
      <c r="A9" s="26" t="s">
        <v>44</v>
      </c>
      <c r="B9" s="26"/>
      <c r="C9" s="26"/>
      <c r="D9" s="26"/>
      <c r="E9" s="26"/>
      <c r="F9" s="26"/>
      <c r="G9" s="26"/>
      <c r="H9" s="26"/>
      <c r="I9" s="26"/>
      <c r="J9" s="26"/>
      <c r="K9" s="26"/>
    </row>
  </sheetData>
  <mergeCells count="2">
    <mergeCell ref="A1:K1"/>
    <mergeCell ref="A9:K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11" min="2" style="0" width="11"/>
    <col collapsed="false" customWidth="true" hidden="false" outlineLevel="0" max="12" min="12" style="0" width="14"/>
  </cols>
  <sheetData>
    <row r="1" customFormat="false" ht="21.75" hidden="false" customHeight="true" outlineLevel="0" collapsed="false">
      <c r="A1" s="1" t="s">
        <v>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true" outlineLevel="0" collapsed="false">
      <c r="A2" s="27" t="s">
        <v>46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customFormat="false" ht="15" hidden="false" customHeight="false" outlineLevel="0" collapsed="false">
      <c r="A3" s="12" t="s">
        <v>47</v>
      </c>
      <c r="B3" s="12" t="s">
        <v>29</v>
      </c>
      <c r="C3" s="12" t="s">
        <v>30</v>
      </c>
      <c r="D3" s="12" t="s">
        <v>31</v>
      </c>
      <c r="E3" s="12" t="s">
        <v>32</v>
      </c>
      <c r="F3" s="12" t="s">
        <v>33</v>
      </c>
      <c r="G3" s="12" t="s">
        <v>34</v>
      </c>
      <c r="H3" s="12" t="s">
        <v>35</v>
      </c>
      <c r="I3" s="12" t="s">
        <v>36</v>
      </c>
      <c r="J3" s="12" t="s">
        <v>37</v>
      </c>
      <c r="K3" s="12" t="s">
        <v>38</v>
      </c>
      <c r="L3" s="12" t="s">
        <v>48</v>
      </c>
    </row>
    <row r="4" customFormat="false" ht="15" hidden="false" customHeight="false" outlineLevel="0" collapsed="false">
      <c r="A4" s="28" t="s">
        <v>21</v>
      </c>
      <c r="B4" s="29" t="n">
        <f aca="false">('Hourly Distribution'!B4/SUM('Hourly Distribution'!B4:K4))*Assumptions!$B$13</f>
        <v>4245.28301886792</v>
      </c>
      <c r="C4" s="29" t="n">
        <f aca="false">('Hourly Distribution'!C4/SUM('Hourly Distribution'!B4:K4))*Assumptions!$B$13</f>
        <v>4245.28301886792</v>
      </c>
      <c r="D4" s="29" t="n">
        <f aca="false">('Hourly Distribution'!D4/SUM('Hourly Distribution'!B4:K4))*Assumptions!$B$13</f>
        <v>3714.62264150943</v>
      </c>
      <c r="E4" s="29" t="n">
        <f aca="false">('Hourly Distribution'!E4/SUM('Hourly Distribution'!B4:K4))*Assumptions!$B$13</f>
        <v>1591.98113207547</v>
      </c>
      <c r="F4" s="29" t="n">
        <f aca="false">('Hourly Distribution'!F4/SUM('Hourly Distribution'!B4:K4))*Assumptions!$B$13</f>
        <v>1061.32075471698</v>
      </c>
      <c r="G4" s="29" t="n">
        <f aca="false">('Hourly Distribution'!G4/SUM('Hourly Distribution'!B4:K4))*Assumptions!$B$13</f>
        <v>1061.32075471698</v>
      </c>
      <c r="H4" s="29" t="n">
        <f aca="false">('Hourly Distribution'!H4/SUM('Hourly Distribution'!B4:K4))*Assumptions!$B$13</f>
        <v>1061.32075471698</v>
      </c>
      <c r="I4" s="29" t="n">
        <f aca="false">('Hourly Distribution'!I4/SUM('Hourly Distribution'!B4:K4))*Assumptions!$B$13</f>
        <v>3183.96226415094</v>
      </c>
      <c r="J4" s="29" t="n">
        <f aca="false">('Hourly Distribution'!J4/SUM('Hourly Distribution'!B4:K4))*Assumptions!$B$13</f>
        <v>3714.62264150943</v>
      </c>
      <c r="K4" s="29" t="n">
        <f aca="false">('Hourly Distribution'!K4/SUM('Hourly Distribution'!B4:K4))*Assumptions!$B$13</f>
        <v>4245.28301886792</v>
      </c>
      <c r="L4" s="10" t="n">
        <f aca="false">SUM(B4:K4)</f>
        <v>28125</v>
      </c>
    </row>
    <row r="5" customFormat="false" ht="23.85" hidden="false" customHeight="false" outlineLevel="0" collapsed="false">
      <c r="A5" s="30" t="s">
        <v>22</v>
      </c>
      <c r="B5" s="31" t="n">
        <f aca="false">('Hourly Distribution'!B5/SUM('Hourly Distribution'!B5:K5))*Assumptions!$B$14</f>
        <v>4245.28301886792</v>
      </c>
      <c r="C5" s="31" t="n">
        <f aca="false">('Hourly Distribution'!C5/SUM('Hourly Distribution'!B5:K5))*Assumptions!$B$14</f>
        <v>4245.28301886792</v>
      </c>
      <c r="D5" s="31" t="n">
        <f aca="false">('Hourly Distribution'!D5/SUM('Hourly Distribution'!B5:K5))*Assumptions!$B$14</f>
        <v>3714.62264150943</v>
      </c>
      <c r="E5" s="31" t="n">
        <f aca="false">('Hourly Distribution'!E5/SUM('Hourly Distribution'!B5:K5))*Assumptions!$B$14</f>
        <v>1591.98113207547</v>
      </c>
      <c r="F5" s="31" t="n">
        <f aca="false">('Hourly Distribution'!F5/SUM('Hourly Distribution'!B5:K5))*Assumptions!$B$14</f>
        <v>1061.32075471698</v>
      </c>
      <c r="G5" s="31" t="n">
        <f aca="false">('Hourly Distribution'!G5/SUM('Hourly Distribution'!B5:K5))*Assumptions!$B$14</f>
        <v>1061.32075471698</v>
      </c>
      <c r="H5" s="31" t="n">
        <f aca="false">('Hourly Distribution'!H5/SUM('Hourly Distribution'!B5:K5))*Assumptions!$B$14</f>
        <v>1061.32075471698</v>
      </c>
      <c r="I5" s="31" t="n">
        <f aca="false">('Hourly Distribution'!I5/SUM('Hourly Distribution'!B5:K5))*Assumptions!$B$14</f>
        <v>3183.96226415094</v>
      </c>
      <c r="J5" s="31" t="n">
        <f aca="false">('Hourly Distribution'!J5/SUM('Hourly Distribution'!B5:K5))*Assumptions!$B$14</f>
        <v>3714.62264150943</v>
      </c>
      <c r="K5" s="31" t="n">
        <f aca="false">('Hourly Distribution'!K5/SUM('Hourly Distribution'!B5:K5))*Assumptions!$B$14</f>
        <v>4245.28301886792</v>
      </c>
      <c r="L5" s="10" t="n">
        <f aca="false">SUM(B5:K5)</f>
        <v>28125</v>
      </c>
    </row>
    <row r="6" customFormat="false" ht="15" hidden="false" customHeight="false" outlineLevel="0" collapsed="false">
      <c r="A6" s="28" t="s">
        <v>23</v>
      </c>
      <c r="B6" s="29" t="n">
        <f aca="false">('Hourly Distribution'!B6/SUM('Hourly Distribution'!B6:K6))*Assumptions!$B$15</f>
        <v>8490.56603773585</v>
      </c>
      <c r="C6" s="29" t="n">
        <f aca="false">('Hourly Distribution'!C6/SUM('Hourly Distribution'!B6:K6))*Assumptions!$B$15</f>
        <v>8490.56603773585</v>
      </c>
      <c r="D6" s="29" t="n">
        <f aca="false">('Hourly Distribution'!D6/SUM('Hourly Distribution'!B6:K6))*Assumptions!$B$15</f>
        <v>7429.24528301887</v>
      </c>
      <c r="E6" s="29" t="n">
        <f aca="false">('Hourly Distribution'!E6/SUM('Hourly Distribution'!B6:K6))*Assumptions!$B$15</f>
        <v>3183.96226415094</v>
      </c>
      <c r="F6" s="29" t="n">
        <f aca="false">('Hourly Distribution'!F6/SUM('Hourly Distribution'!B6:K6))*Assumptions!$B$15</f>
        <v>2122.64150943396</v>
      </c>
      <c r="G6" s="29" t="n">
        <f aca="false">('Hourly Distribution'!G6/SUM('Hourly Distribution'!B6:K6))*Assumptions!$B$15</f>
        <v>2122.64150943396</v>
      </c>
      <c r="H6" s="29" t="n">
        <f aca="false">('Hourly Distribution'!H6/SUM('Hourly Distribution'!B6:K6))*Assumptions!$B$15</f>
        <v>2122.64150943396</v>
      </c>
      <c r="I6" s="29" t="n">
        <f aca="false">('Hourly Distribution'!I6/SUM('Hourly Distribution'!B6:K6))*Assumptions!$B$15</f>
        <v>6367.92452830189</v>
      </c>
      <c r="J6" s="29" t="n">
        <f aca="false">('Hourly Distribution'!J6/SUM('Hourly Distribution'!B6:K6))*Assumptions!$B$15</f>
        <v>7429.24528301887</v>
      </c>
      <c r="K6" s="29" t="n">
        <f aca="false">('Hourly Distribution'!K6/SUM('Hourly Distribution'!B6:K6))*Assumptions!$B$15</f>
        <v>8490.56603773585</v>
      </c>
      <c r="L6" s="10" t="n">
        <f aca="false">SUM(B6:K6)</f>
        <v>56250</v>
      </c>
    </row>
    <row r="7" customFormat="false" ht="15" hidden="false" customHeight="false" outlineLevel="0" collapsed="false">
      <c r="A7" s="30" t="s">
        <v>24</v>
      </c>
      <c r="B7" s="31" t="n">
        <f aca="false">('Hourly Distribution'!B7/SUM('Hourly Distribution'!B7:K7))*Assumptions!$B$16</f>
        <v>2393.6170212766</v>
      </c>
      <c r="C7" s="31" t="n">
        <f aca="false">('Hourly Distribution'!C7/SUM('Hourly Distribution'!B7:K7))*Assumptions!$B$16</f>
        <v>2393.6170212766</v>
      </c>
      <c r="D7" s="31" t="n">
        <f aca="false">('Hourly Distribution'!D7/SUM('Hourly Distribution'!B7:K7))*Assumptions!$B$16</f>
        <v>3590.42553191489</v>
      </c>
      <c r="E7" s="31" t="n">
        <f aca="false">('Hourly Distribution'!E7/SUM('Hourly Distribution'!B7:K7))*Assumptions!$B$16</f>
        <v>8377.65957446809</v>
      </c>
      <c r="F7" s="31" t="n">
        <f aca="false">('Hourly Distribution'!F7/SUM('Hourly Distribution'!B7:K7))*Assumptions!$B$16</f>
        <v>9574.46808510638</v>
      </c>
      <c r="G7" s="31" t="n">
        <f aca="false">('Hourly Distribution'!G7/SUM('Hourly Distribution'!B7:K7))*Assumptions!$B$16</f>
        <v>9574.46808510638</v>
      </c>
      <c r="H7" s="31" t="n">
        <f aca="false">('Hourly Distribution'!H7/SUM('Hourly Distribution'!B7:K7))*Assumptions!$B$16</f>
        <v>9574.46808510638</v>
      </c>
      <c r="I7" s="31" t="n">
        <f aca="false">('Hourly Distribution'!I7/SUM('Hourly Distribution'!B7:K7))*Assumptions!$B$16</f>
        <v>4787.23404255319</v>
      </c>
      <c r="J7" s="31" t="n">
        <f aca="false">('Hourly Distribution'!J7/SUM('Hourly Distribution'!B7:K7))*Assumptions!$B$16</f>
        <v>3590.42553191489</v>
      </c>
      <c r="K7" s="31" t="n">
        <f aca="false">('Hourly Distribution'!K7/SUM('Hourly Distribution'!B7:K7))*Assumptions!$B$16</f>
        <v>2393.6170212766</v>
      </c>
      <c r="L7" s="10" t="n">
        <f aca="false">SUM(B7:K7)</f>
        <v>56250</v>
      </c>
    </row>
    <row r="8" customFormat="false" ht="15" hidden="false" customHeight="false" outlineLevel="0" collapsed="false">
      <c r="A8" s="19" t="s">
        <v>49</v>
      </c>
      <c r="B8" s="20" t="n">
        <f aca="false">SUM(B4:B7)</f>
        <v>19374.7490967483</v>
      </c>
      <c r="C8" s="20" t="n">
        <f aca="false">SUM(C4:C7)</f>
        <v>19374.7490967483</v>
      </c>
      <c r="D8" s="20" t="n">
        <f aca="false">SUM(D4:D7)</f>
        <v>18448.9160979526</v>
      </c>
      <c r="E8" s="20" t="n">
        <f aca="false">SUM(E4:E7)</f>
        <v>14745.58410277</v>
      </c>
      <c r="F8" s="20" t="n">
        <f aca="false">SUM(F4:F7)</f>
        <v>13819.7511039743</v>
      </c>
      <c r="G8" s="20" t="n">
        <f aca="false">SUM(G4:G7)</f>
        <v>13819.7511039743</v>
      </c>
      <c r="H8" s="20" t="n">
        <f aca="false">SUM(H4:H7)</f>
        <v>13819.7511039743</v>
      </c>
      <c r="I8" s="20" t="n">
        <f aca="false">SUM(I4:I7)</f>
        <v>17523.083099157</v>
      </c>
      <c r="J8" s="20" t="n">
        <f aca="false">SUM(J4:J7)</f>
        <v>18448.9160979526</v>
      </c>
      <c r="K8" s="20" t="n">
        <f aca="false">SUM(K4:K7)</f>
        <v>19374.7490967483</v>
      </c>
      <c r="L8" s="20" t="n">
        <f aca="false">SUM(L4:L7)</f>
        <v>168750</v>
      </c>
    </row>
    <row r="10" customFormat="false" ht="15" hidden="false" customHeight="true" outlineLevel="0" collapsed="false">
      <c r="A10" s="32" t="s">
        <v>50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</row>
  </sheetData>
  <mergeCells count="3">
    <mergeCell ref="A1:L1"/>
    <mergeCell ref="A2:L2"/>
    <mergeCell ref="A10:L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12" min="3" style="0" width="11"/>
    <col collapsed="false" customWidth="true" hidden="false" outlineLevel="0" max="13" min="13" style="0" width="14"/>
  </cols>
  <sheetData>
    <row r="1" customFormat="false" ht="21.75" hidden="false" customHeight="true" outlineLevel="0" collapsed="false">
      <c r="A1" s="1" t="s">
        <v>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true" outlineLevel="0" collapsed="false">
      <c r="A2" s="27" t="s">
        <v>52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customFormat="false" ht="15" hidden="false" customHeight="false" outlineLevel="0" collapsed="false">
      <c r="A3" s="12" t="s">
        <v>47</v>
      </c>
      <c r="B3" s="12" t="s">
        <v>53</v>
      </c>
      <c r="C3" s="12" t="s">
        <v>29</v>
      </c>
      <c r="D3" s="12" t="s">
        <v>30</v>
      </c>
      <c r="E3" s="12" t="s">
        <v>31</v>
      </c>
      <c r="F3" s="12" t="s">
        <v>32</v>
      </c>
      <c r="G3" s="12" t="s">
        <v>33</v>
      </c>
      <c r="H3" s="12" t="s">
        <v>34</v>
      </c>
      <c r="I3" s="12" t="s">
        <v>35</v>
      </c>
      <c r="J3" s="12" t="s">
        <v>36</v>
      </c>
      <c r="K3" s="12" t="s">
        <v>37</v>
      </c>
      <c r="L3" s="12" t="s">
        <v>38</v>
      </c>
      <c r="M3" s="12" t="s">
        <v>48</v>
      </c>
    </row>
    <row r="4" customFormat="false" ht="15" hidden="false" customHeight="false" outlineLevel="0" collapsed="false">
      <c r="A4" s="28" t="s">
        <v>21</v>
      </c>
      <c r="B4" s="33" t="s">
        <v>54</v>
      </c>
      <c r="C4" s="29" t="n">
        <f aca="false">'Per-Hour Volume'!B4*Assumptions!D13</f>
        <v>1485.84905660377</v>
      </c>
      <c r="D4" s="29" t="n">
        <f aca="false">'Per-Hour Volume'!C4*Assumptions!D13</f>
        <v>1485.84905660377</v>
      </c>
      <c r="E4" s="29" t="n">
        <f aca="false">'Per-Hour Volume'!D4*Assumptions!D13</f>
        <v>1300.1179245283</v>
      </c>
      <c r="F4" s="29" t="n">
        <f aca="false">'Per-Hour Volume'!E4*Assumptions!D13</f>
        <v>557.193396226415</v>
      </c>
      <c r="G4" s="29" t="n">
        <f aca="false">'Per-Hour Volume'!F4*Assumptions!D13</f>
        <v>371.462264150943</v>
      </c>
      <c r="H4" s="29" t="n">
        <f aca="false">'Per-Hour Volume'!G4*Assumptions!D13</f>
        <v>371.462264150943</v>
      </c>
      <c r="I4" s="29" t="n">
        <f aca="false">'Per-Hour Volume'!H4*Assumptions!D13</f>
        <v>371.462264150943</v>
      </c>
      <c r="J4" s="29" t="n">
        <f aca="false">'Per-Hour Volume'!I4*Assumptions!D13</f>
        <v>1114.38679245283</v>
      </c>
      <c r="K4" s="29" t="n">
        <f aca="false">'Per-Hour Volume'!J4*Assumptions!D13</f>
        <v>1300.1179245283</v>
      </c>
      <c r="L4" s="29" t="n">
        <f aca="false">'Per-Hour Volume'!K4*Assumptions!D13</f>
        <v>1485.84905660377</v>
      </c>
      <c r="M4" s="34" t="n">
        <f aca="false">SUM(C4:L4)</f>
        <v>9843.75</v>
      </c>
    </row>
    <row r="5" customFormat="false" ht="15" hidden="false" customHeight="false" outlineLevel="0" collapsed="false">
      <c r="A5" s="15"/>
      <c r="B5" s="33" t="s">
        <v>55</v>
      </c>
      <c r="C5" s="29" t="n">
        <f aca="false">'Per-Hour Volume'!B4*Assumptions!E13</f>
        <v>1485.84905660377</v>
      </c>
      <c r="D5" s="29" t="n">
        <f aca="false">'Per-Hour Volume'!C4*Assumptions!E13</f>
        <v>1485.84905660377</v>
      </c>
      <c r="E5" s="29" t="n">
        <f aca="false">'Per-Hour Volume'!D4*Assumptions!E13</f>
        <v>1300.1179245283</v>
      </c>
      <c r="F5" s="29" t="n">
        <f aca="false">'Per-Hour Volume'!E4*Assumptions!E13</f>
        <v>557.193396226415</v>
      </c>
      <c r="G5" s="29" t="n">
        <f aca="false">'Per-Hour Volume'!F4*Assumptions!E13</f>
        <v>371.462264150943</v>
      </c>
      <c r="H5" s="29" t="n">
        <f aca="false">'Per-Hour Volume'!G4*Assumptions!E13</f>
        <v>371.462264150943</v>
      </c>
      <c r="I5" s="29" t="n">
        <f aca="false">'Per-Hour Volume'!H4*Assumptions!E13</f>
        <v>371.462264150943</v>
      </c>
      <c r="J5" s="29" t="n">
        <f aca="false">'Per-Hour Volume'!I4*Assumptions!E13</f>
        <v>1114.38679245283</v>
      </c>
      <c r="K5" s="29" t="n">
        <f aca="false">'Per-Hour Volume'!J4*Assumptions!E13</f>
        <v>1300.1179245283</v>
      </c>
      <c r="L5" s="29" t="n">
        <f aca="false">'Per-Hour Volume'!K4*Assumptions!E13</f>
        <v>1485.84905660377</v>
      </c>
      <c r="M5" s="34" t="n">
        <f aca="false">SUM(C5:L5)</f>
        <v>9843.75</v>
      </c>
    </row>
    <row r="6" customFormat="false" ht="15" hidden="false" customHeight="false" outlineLevel="0" collapsed="false">
      <c r="A6" s="15"/>
      <c r="B6" s="33" t="s">
        <v>56</v>
      </c>
      <c r="C6" s="29" t="n">
        <f aca="false">'Per-Hour Volume'!B4*Assumptions!F13</f>
        <v>424.528301886792</v>
      </c>
      <c r="D6" s="29" t="n">
        <f aca="false">'Per-Hour Volume'!C4*Assumptions!F13</f>
        <v>424.528301886792</v>
      </c>
      <c r="E6" s="29" t="n">
        <f aca="false">'Per-Hour Volume'!D4*Assumptions!F13</f>
        <v>371.462264150943</v>
      </c>
      <c r="F6" s="29" t="n">
        <f aca="false">'Per-Hour Volume'!E4*Assumptions!F13</f>
        <v>159.198113207547</v>
      </c>
      <c r="G6" s="29" t="n">
        <f aca="false">'Per-Hour Volume'!F4*Assumptions!F13</f>
        <v>106.132075471698</v>
      </c>
      <c r="H6" s="29" t="n">
        <f aca="false">'Per-Hour Volume'!G4*Assumptions!F13</f>
        <v>106.132075471698</v>
      </c>
      <c r="I6" s="29" t="n">
        <f aca="false">'Per-Hour Volume'!H4*Assumptions!F13</f>
        <v>106.132075471698</v>
      </c>
      <c r="J6" s="29" t="n">
        <f aca="false">'Per-Hour Volume'!I4*Assumptions!F13</f>
        <v>318.396226415094</v>
      </c>
      <c r="K6" s="29" t="n">
        <f aca="false">'Per-Hour Volume'!J4*Assumptions!F13</f>
        <v>371.462264150943</v>
      </c>
      <c r="L6" s="29" t="n">
        <f aca="false">'Per-Hour Volume'!K4*Assumptions!F13</f>
        <v>424.528301886792</v>
      </c>
      <c r="M6" s="34" t="n">
        <f aca="false">SUM(C6:L6)</f>
        <v>2812.5</v>
      </c>
    </row>
    <row r="7" customFormat="false" ht="15" hidden="false" customHeight="false" outlineLevel="0" collapsed="false">
      <c r="A7" s="15"/>
      <c r="B7" s="33" t="s">
        <v>57</v>
      </c>
      <c r="C7" s="29" t="n">
        <f aca="false">'Per-Hour Volume'!B4*Assumptions!G13</f>
        <v>424.528301886792</v>
      </c>
      <c r="D7" s="29" t="n">
        <f aca="false">'Per-Hour Volume'!C4*Assumptions!G13</f>
        <v>424.528301886792</v>
      </c>
      <c r="E7" s="29" t="n">
        <f aca="false">'Per-Hour Volume'!D4*Assumptions!G13</f>
        <v>371.462264150943</v>
      </c>
      <c r="F7" s="29" t="n">
        <f aca="false">'Per-Hour Volume'!E4*Assumptions!G13</f>
        <v>159.198113207547</v>
      </c>
      <c r="G7" s="29" t="n">
        <f aca="false">'Per-Hour Volume'!F4*Assumptions!G13</f>
        <v>106.132075471698</v>
      </c>
      <c r="H7" s="29" t="n">
        <f aca="false">'Per-Hour Volume'!G4*Assumptions!G13</f>
        <v>106.132075471698</v>
      </c>
      <c r="I7" s="29" t="n">
        <f aca="false">'Per-Hour Volume'!H4*Assumptions!G13</f>
        <v>106.132075471698</v>
      </c>
      <c r="J7" s="29" t="n">
        <f aca="false">'Per-Hour Volume'!I4*Assumptions!G13</f>
        <v>318.396226415094</v>
      </c>
      <c r="K7" s="29" t="n">
        <f aca="false">'Per-Hour Volume'!J4*Assumptions!G13</f>
        <v>371.462264150943</v>
      </c>
      <c r="L7" s="29" t="n">
        <f aca="false">'Per-Hour Volume'!K4*Assumptions!G13</f>
        <v>424.528301886792</v>
      </c>
      <c r="M7" s="34" t="n">
        <f aca="false">SUM(C7:L7)</f>
        <v>2812.5</v>
      </c>
    </row>
    <row r="8" customFormat="false" ht="15" hidden="false" customHeight="false" outlineLevel="0" collapsed="false">
      <c r="A8" s="15"/>
      <c r="B8" s="33" t="s">
        <v>58</v>
      </c>
      <c r="C8" s="29" t="n">
        <f aca="false">'Per-Hour Volume'!B4*Assumptions!H13</f>
        <v>424.528301886792</v>
      </c>
      <c r="D8" s="29" t="n">
        <f aca="false">'Per-Hour Volume'!C4*Assumptions!H13</f>
        <v>424.528301886792</v>
      </c>
      <c r="E8" s="29" t="n">
        <f aca="false">'Per-Hour Volume'!D4*Assumptions!H13</f>
        <v>371.462264150943</v>
      </c>
      <c r="F8" s="29" t="n">
        <f aca="false">'Per-Hour Volume'!E4*Assumptions!H13</f>
        <v>159.198113207547</v>
      </c>
      <c r="G8" s="29" t="n">
        <f aca="false">'Per-Hour Volume'!F4*Assumptions!H13</f>
        <v>106.132075471698</v>
      </c>
      <c r="H8" s="29" t="n">
        <f aca="false">'Per-Hour Volume'!G4*Assumptions!H13</f>
        <v>106.132075471698</v>
      </c>
      <c r="I8" s="29" t="n">
        <f aca="false">'Per-Hour Volume'!H4*Assumptions!H13</f>
        <v>106.132075471698</v>
      </c>
      <c r="J8" s="29" t="n">
        <f aca="false">'Per-Hour Volume'!I4*Assumptions!H13</f>
        <v>318.396226415094</v>
      </c>
      <c r="K8" s="29" t="n">
        <f aca="false">'Per-Hour Volume'!J4*Assumptions!H13</f>
        <v>371.462264150943</v>
      </c>
      <c r="L8" s="29" t="n">
        <f aca="false">'Per-Hour Volume'!K4*Assumptions!H13</f>
        <v>424.528301886792</v>
      </c>
      <c r="M8" s="34" t="n">
        <f aca="false">SUM(C8:L8)</f>
        <v>2812.5</v>
      </c>
    </row>
    <row r="9" customFormat="false" ht="15" hidden="false" customHeight="false" outlineLevel="0" collapsed="false">
      <c r="A9" s="35" t="s">
        <v>59</v>
      </c>
      <c r="B9" s="19" t="s">
        <v>60</v>
      </c>
      <c r="C9" s="20" t="n">
        <f aca="false">'Per-Hour Volume'!B4</f>
        <v>4245.28301886792</v>
      </c>
      <c r="D9" s="20" t="n">
        <f aca="false">'Per-Hour Volume'!C4</f>
        <v>4245.28301886792</v>
      </c>
      <c r="E9" s="20" t="n">
        <f aca="false">'Per-Hour Volume'!D4</f>
        <v>3714.62264150943</v>
      </c>
      <c r="F9" s="20" t="n">
        <f aca="false">'Per-Hour Volume'!E4</f>
        <v>1591.98113207547</v>
      </c>
      <c r="G9" s="20" t="n">
        <f aca="false">'Per-Hour Volume'!F4</f>
        <v>1061.32075471698</v>
      </c>
      <c r="H9" s="20" t="n">
        <f aca="false">'Per-Hour Volume'!G4</f>
        <v>1061.32075471698</v>
      </c>
      <c r="I9" s="20" t="n">
        <f aca="false">'Per-Hour Volume'!H4</f>
        <v>1061.32075471698</v>
      </c>
      <c r="J9" s="20" t="n">
        <f aca="false">'Per-Hour Volume'!I4</f>
        <v>3183.96226415094</v>
      </c>
      <c r="K9" s="20" t="n">
        <f aca="false">'Per-Hour Volume'!J4</f>
        <v>3714.62264150943</v>
      </c>
      <c r="L9" s="20" t="n">
        <f aca="false">'Per-Hour Volume'!K4</f>
        <v>4245.28301886792</v>
      </c>
      <c r="M9" s="20" t="n">
        <f aca="false">'Per-Hour Volume'!L4</f>
        <v>28125</v>
      </c>
    </row>
    <row r="11" customFormat="false" ht="23.85" hidden="false" customHeight="false" outlineLevel="0" collapsed="false">
      <c r="A11" s="36" t="s">
        <v>22</v>
      </c>
      <c r="B11" s="37" t="s">
        <v>54</v>
      </c>
      <c r="C11" s="38" t="n">
        <f aca="false">'Per-Hour Volume'!B5*Assumptions!D14</f>
        <v>1485.84905660377</v>
      </c>
      <c r="D11" s="38" t="n">
        <f aca="false">'Per-Hour Volume'!C5*Assumptions!D14</f>
        <v>1485.84905660377</v>
      </c>
      <c r="E11" s="38" t="n">
        <f aca="false">'Per-Hour Volume'!D5*Assumptions!D14</f>
        <v>1300.1179245283</v>
      </c>
      <c r="F11" s="38" t="n">
        <f aca="false">'Per-Hour Volume'!E5*Assumptions!D14</f>
        <v>557.193396226415</v>
      </c>
      <c r="G11" s="38" t="n">
        <f aca="false">'Per-Hour Volume'!F5*Assumptions!D14</f>
        <v>371.462264150943</v>
      </c>
      <c r="H11" s="38" t="n">
        <f aca="false">'Per-Hour Volume'!G5*Assumptions!D14</f>
        <v>371.462264150943</v>
      </c>
      <c r="I11" s="38" t="n">
        <f aca="false">'Per-Hour Volume'!H5*Assumptions!D14</f>
        <v>371.462264150943</v>
      </c>
      <c r="J11" s="38" t="n">
        <f aca="false">'Per-Hour Volume'!I5*Assumptions!D14</f>
        <v>1114.38679245283</v>
      </c>
      <c r="K11" s="38" t="n">
        <f aca="false">'Per-Hour Volume'!J5*Assumptions!D14</f>
        <v>1300.1179245283</v>
      </c>
      <c r="L11" s="38" t="n">
        <f aca="false">'Per-Hour Volume'!K5*Assumptions!D14</f>
        <v>1485.84905660377</v>
      </c>
      <c r="M11" s="39" t="n">
        <f aca="false">SUM(C11:L11)</f>
        <v>9843.75</v>
      </c>
    </row>
    <row r="12" customFormat="false" ht="15" hidden="false" customHeight="false" outlineLevel="0" collapsed="false">
      <c r="A12" s="3"/>
      <c r="B12" s="37" t="s">
        <v>55</v>
      </c>
      <c r="C12" s="38" t="n">
        <f aca="false">'Per-Hour Volume'!B5*Assumptions!E14</f>
        <v>1485.84905660377</v>
      </c>
      <c r="D12" s="38" t="n">
        <f aca="false">'Per-Hour Volume'!C5*Assumptions!E14</f>
        <v>1485.84905660377</v>
      </c>
      <c r="E12" s="38" t="n">
        <f aca="false">'Per-Hour Volume'!D5*Assumptions!E14</f>
        <v>1300.1179245283</v>
      </c>
      <c r="F12" s="38" t="n">
        <f aca="false">'Per-Hour Volume'!E5*Assumptions!E14</f>
        <v>557.193396226415</v>
      </c>
      <c r="G12" s="38" t="n">
        <f aca="false">'Per-Hour Volume'!F5*Assumptions!E14</f>
        <v>371.462264150943</v>
      </c>
      <c r="H12" s="38" t="n">
        <f aca="false">'Per-Hour Volume'!G5*Assumptions!E14</f>
        <v>371.462264150943</v>
      </c>
      <c r="I12" s="38" t="n">
        <f aca="false">'Per-Hour Volume'!H5*Assumptions!E14</f>
        <v>371.462264150943</v>
      </c>
      <c r="J12" s="38" t="n">
        <f aca="false">'Per-Hour Volume'!I5*Assumptions!E14</f>
        <v>1114.38679245283</v>
      </c>
      <c r="K12" s="38" t="n">
        <f aca="false">'Per-Hour Volume'!J5*Assumptions!E14</f>
        <v>1300.1179245283</v>
      </c>
      <c r="L12" s="38" t="n">
        <f aca="false">'Per-Hour Volume'!K5*Assumptions!E14</f>
        <v>1485.84905660377</v>
      </c>
      <c r="M12" s="39" t="n">
        <f aca="false">SUM(C12:L12)</f>
        <v>9843.75</v>
      </c>
    </row>
    <row r="13" customFormat="false" ht="15" hidden="false" customHeight="false" outlineLevel="0" collapsed="false">
      <c r="A13" s="3"/>
      <c r="B13" s="37" t="s">
        <v>56</v>
      </c>
      <c r="C13" s="38" t="n">
        <f aca="false">'Per-Hour Volume'!B5*Assumptions!F14</f>
        <v>424.528301886792</v>
      </c>
      <c r="D13" s="38" t="n">
        <f aca="false">'Per-Hour Volume'!C5*Assumptions!F14</f>
        <v>424.528301886792</v>
      </c>
      <c r="E13" s="38" t="n">
        <f aca="false">'Per-Hour Volume'!D5*Assumptions!F14</f>
        <v>371.462264150943</v>
      </c>
      <c r="F13" s="38" t="n">
        <f aca="false">'Per-Hour Volume'!E5*Assumptions!F14</f>
        <v>159.198113207547</v>
      </c>
      <c r="G13" s="38" t="n">
        <f aca="false">'Per-Hour Volume'!F5*Assumptions!F14</f>
        <v>106.132075471698</v>
      </c>
      <c r="H13" s="38" t="n">
        <f aca="false">'Per-Hour Volume'!G5*Assumptions!F14</f>
        <v>106.132075471698</v>
      </c>
      <c r="I13" s="38" t="n">
        <f aca="false">'Per-Hour Volume'!H5*Assumptions!F14</f>
        <v>106.132075471698</v>
      </c>
      <c r="J13" s="38" t="n">
        <f aca="false">'Per-Hour Volume'!I5*Assumptions!F14</f>
        <v>318.396226415094</v>
      </c>
      <c r="K13" s="38" t="n">
        <f aca="false">'Per-Hour Volume'!J5*Assumptions!F14</f>
        <v>371.462264150943</v>
      </c>
      <c r="L13" s="38" t="n">
        <f aca="false">'Per-Hour Volume'!K5*Assumptions!F14</f>
        <v>424.528301886792</v>
      </c>
      <c r="M13" s="39" t="n">
        <f aca="false">SUM(C13:L13)</f>
        <v>2812.5</v>
      </c>
    </row>
    <row r="14" customFormat="false" ht="15" hidden="false" customHeight="false" outlineLevel="0" collapsed="false">
      <c r="A14" s="3"/>
      <c r="B14" s="37" t="s">
        <v>57</v>
      </c>
      <c r="C14" s="38" t="n">
        <f aca="false">'Per-Hour Volume'!B5*Assumptions!G14</f>
        <v>424.528301886792</v>
      </c>
      <c r="D14" s="38" t="n">
        <f aca="false">'Per-Hour Volume'!C5*Assumptions!G14</f>
        <v>424.528301886792</v>
      </c>
      <c r="E14" s="38" t="n">
        <f aca="false">'Per-Hour Volume'!D5*Assumptions!G14</f>
        <v>371.462264150943</v>
      </c>
      <c r="F14" s="38" t="n">
        <f aca="false">'Per-Hour Volume'!E5*Assumptions!G14</f>
        <v>159.198113207547</v>
      </c>
      <c r="G14" s="38" t="n">
        <f aca="false">'Per-Hour Volume'!F5*Assumptions!G14</f>
        <v>106.132075471698</v>
      </c>
      <c r="H14" s="38" t="n">
        <f aca="false">'Per-Hour Volume'!G5*Assumptions!G14</f>
        <v>106.132075471698</v>
      </c>
      <c r="I14" s="38" t="n">
        <f aca="false">'Per-Hour Volume'!H5*Assumptions!G14</f>
        <v>106.132075471698</v>
      </c>
      <c r="J14" s="38" t="n">
        <f aca="false">'Per-Hour Volume'!I5*Assumptions!G14</f>
        <v>318.396226415094</v>
      </c>
      <c r="K14" s="38" t="n">
        <f aca="false">'Per-Hour Volume'!J5*Assumptions!G14</f>
        <v>371.462264150943</v>
      </c>
      <c r="L14" s="38" t="n">
        <f aca="false">'Per-Hour Volume'!K5*Assumptions!G14</f>
        <v>424.528301886792</v>
      </c>
      <c r="M14" s="39" t="n">
        <f aca="false">SUM(C14:L14)</f>
        <v>2812.5</v>
      </c>
    </row>
    <row r="15" customFormat="false" ht="15" hidden="false" customHeight="false" outlineLevel="0" collapsed="false">
      <c r="A15" s="3"/>
      <c r="B15" s="37" t="s">
        <v>58</v>
      </c>
      <c r="C15" s="38" t="n">
        <f aca="false">'Per-Hour Volume'!B5*Assumptions!H14</f>
        <v>424.528301886792</v>
      </c>
      <c r="D15" s="38" t="n">
        <f aca="false">'Per-Hour Volume'!C5*Assumptions!H14</f>
        <v>424.528301886792</v>
      </c>
      <c r="E15" s="38" t="n">
        <f aca="false">'Per-Hour Volume'!D5*Assumptions!H14</f>
        <v>371.462264150943</v>
      </c>
      <c r="F15" s="38" t="n">
        <f aca="false">'Per-Hour Volume'!E5*Assumptions!H14</f>
        <v>159.198113207547</v>
      </c>
      <c r="G15" s="38" t="n">
        <f aca="false">'Per-Hour Volume'!F5*Assumptions!H14</f>
        <v>106.132075471698</v>
      </c>
      <c r="H15" s="38" t="n">
        <f aca="false">'Per-Hour Volume'!G5*Assumptions!H14</f>
        <v>106.132075471698</v>
      </c>
      <c r="I15" s="38" t="n">
        <f aca="false">'Per-Hour Volume'!H5*Assumptions!H14</f>
        <v>106.132075471698</v>
      </c>
      <c r="J15" s="38" t="n">
        <f aca="false">'Per-Hour Volume'!I5*Assumptions!H14</f>
        <v>318.396226415094</v>
      </c>
      <c r="K15" s="38" t="n">
        <f aca="false">'Per-Hour Volume'!J5*Assumptions!H14</f>
        <v>371.462264150943</v>
      </c>
      <c r="L15" s="38" t="n">
        <f aca="false">'Per-Hour Volume'!K5*Assumptions!H14</f>
        <v>424.528301886792</v>
      </c>
      <c r="M15" s="39" t="n">
        <f aca="false">SUM(C15:L15)</f>
        <v>2812.5</v>
      </c>
    </row>
    <row r="16" customFormat="false" ht="23.85" hidden="false" customHeight="false" outlineLevel="0" collapsed="false">
      <c r="A16" s="35" t="s">
        <v>61</v>
      </c>
      <c r="B16" s="19" t="s">
        <v>60</v>
      </c>
      <c r="C16" s="20" t="n">
        <f aca="false">'Per-Hour Volume'!B5</f>
        <v>4245.28301886792</v>
      </c>
      <c r="D16" s="20" t="n">
        <f aca="false">'Per-Hour Volume'!C5</f>
        <v>4245.28301886792</v>
      </c>
      <c r="E16" s="20" t="n">
        <f aca="false">'Per-Hour Volume'!D5</f>
        <v>3714.62264150943</v>
      </c>
      <c r="F16" s="20" t="n">
        <f aca="false">'Per-Hour Volume'!E5</f>
        <v>1591.98113207547</v>
      </c>
      <c r="G16" s="20" t="n">
        <f aca="false">'Per-Hour Volume'!F5</f>
        <v>1061.32075471698</v>
      </c>
      <c r="H16" s="20" t="n">
        <f aca="false">'Per-Hour Volume'!G5</f>
        <v>1061.32075471698</v>
      </c>
      <c r="I16" s="20" t="n">
        <f aca="false">'Per-Hour Volume'!H5</f>
        <v>1061.32075471698</v>
      </c>
      <c r="J16" s="20" t="n">
        <f aca="false">'Per-Hour Volume'!I5</f>
        <v>3183.96226415094</v>
      </c>
      <c r="K16" s="20" t="n">
        <f aca="false">'Per-Hour Volume'!J5</f>
        <v>3714.62264150943</v>
      </c>
      <c r="L16" s="20" t="n">
        <f aca="false">'Per-Hour Volume'!K5</f>
        <v>4245.28301886792</v>
      </c>
      <c r="M16" s="20" t="n">
        <f aca="false">'Per-Hour Volume'!L5</f>
        <v>28125</v>
      </c>
    </row>
    <row r="18" customFormat="false" ht="15" hidden="false" customHeight="false" outlineLevel="0" collapsed="false">
      <c r="A18" s="30" t="s">
        <v>23</v>
      </c>
      <c r="B18" s="40" t="s">
        <v>54</v>
      </c>
      <c r="C18" s="31" t="n">
        <f aca="false">'Per-Hour Volume'!B6*Assumptions!D15</f>
        <v>2971.69811320755</v>
      </c>
      <c r="D18" s="31" t="n">
        <f aca="false">'Per-Hour Volume'!C6*Assumptions!D15</f>
        <v>2971.69811320755</v>
      </c>
      <c r="E18" s="31" t="n">
        <f aca="false">'Per-Hour Volume'!D6*Assumptions!D15</f>
        <v>2600.2358490566</v>
      </c>
      <c r="F18" s="31" t="n">
        <f aca="false">'Per-Hour Volume'!E6*Assumptions!D15</f>
        <v>1114.38679245283</v>
      </c>
      <c r="G18" s="31" t="n">
        <f aca="false">'Per-Hour Volume'!F6*Assumptions!D15</f>
        <v>742.924528301887</v>
      </c>
      <c r="H18" s="31" t="n">
        <f aca="false">'Per-Hour Volume'!G6*Assumptions!D15</f>
        <v>742.924528301887</v>
      </c>
      <c r="I18" s="31" t="n">
        <f aca="false">'Per-Hour Volume'!H6*Assumptions!D15</f>
        <v>742.924528301887</v>
      </c>
      <c r="J18" s="31" t="n">
        <f aca="false">'Per-Hour Volume'!I6*Assumptions!D15</f>
        <v>2228.77358490566</v>
      </c>
      <c r="K18" s="31" t="n">
        <f aca="false">'Per-Hour Volume'!J6*Assumptions!D15</f>
        <v>2600.2358490566</v>
      </c>
      <c r="L18" s="31" t="n">
        <f aca="false">'Per-Hour Volume'!K6*Assumptions!D15</f>
        <v>2971.69811320755</v>
      </c>
      <c r="M18" s="41" t="n">
        <f aca="false">SUM(C18:L18)</f>
        <v>19687.5</v>
      </c>
    </row>
    <row r="19" customFormat="false" ht="15" hidden="false" customHeight="false" outlineLevel="0" collapsed="false">
      <c r="A19" s="6"/>
      <c r="B19" s="40" t="s">
        <v>55</v>
      </c>
      <c r="C19" s="31" t="n">
        <f aca="false">'Per-Hour Volume'!B6*Assumptions!E15</f>
        <v>2971.69811320755</v>
      </c>
      <c r="D19" s="31" t="n">
        <f aca="false">'Per-Hour Volume'!C6*Assumptions!E15</f>
        <v>2971.69811320755</v>
      </c>
      <c r="E19" s="31" t="n">
        <f aca="false">'Per-Hour Volume'!D6*Assumptions!E15</f>
        <v>2600.2358490566</v>
      </c>
      <c r="F19" s="31" t="n">
        <f aca="false">'Per-Hour Volume'!E6*Assumptions!E15</f>
        <v>1114.38679245283</v>
      </c>
      <c r="G19" s="31" t="n">
        <f aca="false">'Per-Hour Volume'!F6*Assumptions!E15</f>
        <v>742.924528301887</v>
      </c>
      <c r="H19" s="31" t="n">
        <f aca="false">'Per-Hour Volume'!G6*Assumptions!E15</f>
        <v>742.924528301887</v>
      </c>
      <c r="I19" s="31" t="n">
        <f aca="false">'Per-Hour Volume'!H6*Assumptions!E15</f>
        <v>742.924528301887</v>
      </c>
      <c r="J19" s="31" t="n">
        <f aca="false">'Per-Hour Volume'!I6*Assumptions!E15</f>
        <v>2228.77358490566</v>
      </c>
      <c r="K19" s="31" t="n">
        <f aca="false">'Per-Hour Volume'!J6*Assumptions!E15</f>
        <v>2600.2358490566</v>
      </c>
      <c r="L19" s="31" t="n">
        <f aca="false">'Per-Hour Volume'!K6*Assumptions!E15</f>
        <v>2971.69811320755</v>
      </c>
      <c r="M19" s="41" t="n">
        <f aca="false">SUM(C19:L19)</f>
        <v>19687.5</v>
      </c>
    </row>
    <row r="20" customFormat="false" ht="15" hidden="false" customHeight="false" outlineLevel="0" collapsed="false">
      <c r="A20" s="6"/>
      <c r="B20" s="40" t="s">
        <v>56</v>
      </c>
      <c r="C20" s="31" t="n">
        <f aca="false">'Per-Hour Volume'!B6*Assumptions!F15</f>
        <v>849.056603773585</v>
      </c>
      <c r="D20" s="31" t="n">
        <f aca="false">'Per-Hour Volume'!C6*Assumptions!F15</f>
        <v>849.056603773585</v>
      </c>
      <c r="E20" s="31" t="n">
        <f aca="false">'Per-Hour Volume'!D6*Assumptions!F15</f>
        <v>742.924528301887</v>
      </c>
      <c r="F20" s="31" t="n">
        <f aca="false">'Per-Hour Volume'!E6*Assumptions!F15</f>
        <v>318.396226415094</v>
      </c>
      <c r="G20" s="31" t="n">
        <f aca="false">'Per-Hour Volume'!F6*Assumptions!F15</f>
        <v>212.264150943396</v>
      </c>
      <c r="H20" s="31" t="n">
        <f aca="false">'Per-Hour Volume'!G6*Assumptions!F15</f>
        <v>212.264150943396</v>
      </c>
      <c r="I20" s="31" t="n">
        <f aca="false">'Per-Hour Volume'!H6*Assumptions!F15</f>
        <v>212.264150943396</v>
      </c>
      <c r="J20" s="31" t="n">
        <f aca="false">'Per-Hour Volume'!I6*Assumptions!F15</f>
        <v>636.792452830189</v>
      </c>
      <c r="K20" s="31" t="n">
        <f aca="false">'Per-Hour Volume'!J6*Assumptions!F15</f>
        <v>742.924528301887</v>
      </c>
      <c r="L20" s="31" t="n">
        <f aca="false">'Per-Hour Volume'!K6*Assumptions!F15</f>
        <v>849.056603773585</v>
      </c>
      <c r="M20" s="41" t="n">
        <f aca="false">SUM(C20:L20)</f>
        <v>5625</v>
      </c>
    </row>
    <row r="21" customFormat="false" ht="15" hidden="false" customHeight="false" outlineLevel="0" collapsed="false">
      <c r="A21" s="6"/>
      <c r="B21" s="40" t="s">
        <v>57</v>
      </c>
      <c r="C21" s="31" t="n">
        <f aca="false">'Per-Hour Volume'!B6*Assumptions!G15</f>
        <v>849.056603773585</v>
      </c>
      <c r="D21" s="31" t="n">
        <f aca="false">'Per-Hour Volume'!C6*Assumptions!G15</f>
        <v>849.056603773585</v>
      </c>
      <c r="E21" s="31" t="n">
        <f aca="false">'Per-Hour Volume'!D6*Assumptions!G15</f>
        <v>742.924528301887</v>
      </c>
      <c r="F21" s="31" t="n">
        <f aca="false">'Per-Hour Volume'!E6*Assumptions!G15</f>
        <v>318.396226415094</v>
      </c>
      <c r="G21" s="31" t="n">
        <f aca="false">'Per-Hour Volume'!F6*Assumptions!G15</f>
        <v>212.264150943396</v>
      </c>
      <c r="H21" s="31" t="n">
        <f aca="false">'Per-Hour Volume'!G6*Assumptions!G15</f>
        <v>212.264150943396</v>
      </c>
      <c r="I21" s="31" t="n">
        <f aca="false">'Per-Hour Volume'!H6*Assumptions!G15</f>
        <v>212.264150943396</v>
      </c>
      <c r="J21" s="31" t="n">
        <f aca="false">'Per-Hour Volume'!I6*Assumptions!G15</f>
        <v>636.792452830189</v>
      </c>
      <c r="K21" s="31" t="n">
        <f aca="false">'Per-Hour Volume'!J6*Assumptions!G15</f>
        <v>742.924528301887</v>
      </c>
      <c r="L21" s="31" t="n">
        <f aca="false">'Per-Hour Volume'!K6*Assumptions!G15</f>
        <v>849.056603773585</v>
      </c>
      <c r="M21" s="41" t="n">
        <f aca="false">SUM(C21:L21)</f>
        <v>5625</v>
      </c>
    </row>
    <row r="22" customFormat="false" ht="15" hidden="false" customHeight="false" outlineLevel="0" collapsed="false">
      <c r="A22" s="6"/>
      <c r="B22" s="40" t="s">
        <v>58</v>
      </c>
      <c r="C22" s="31" t="n">
        <f aca="false">'Per-Hour Volume'!B6*Assumptions!H15</f>
        <v>849.056603773585</v>
      </c>
      <c r="D22" s="31" t="n">
        <f aca="false">'Per-Hour Volume'!C6*Assumptions!H15</f>
        <v>849.056603773585</v>
      </c>
      <c r="E22" s="31" t="n">
        <f aca="false">'Per-Hour Volume'!D6*Assumptions!H15</f>
        <v>742.924528301887</v>
      </c>
      <c r="F22" s="31" t="n">
        <f aca="false">'Per-Hour Volume'!E6*Assumptions!H15</f>
        <v>318.396226415094</v>
      </c>
      <c r="G22" s="31" t="n">
        <f aca="false">'Per-Hour Volume'!F6*Assumptions!H15</f>
        <v>212.264150943396</v>
      </c>
      <c r="H22" s="31" t="n">
        <f aca="false">'Per-Hour Volume'!G6*Assumptions!H15</f>
        <v>212.264150943396</v>
      </c>
      <c r="I22" s="31" t="n">
        <f aca="false">'Per-Hour Volume'!H6*Assumptions!H15</f>
        <v>212.264150943396</v>
      </c>
      <c r="J22" s="31" t="n">
        <f aca="false">'Per-Hour Volume'!I6*Assumptions!H15</f>
        <v>636.792452830189</v>
      </c>
      <c r="K22" s="31" t="n">
        <f aca="false">'Per-Hour Volume'!J6*Assumptions!H15</f>
        <v>742.924528301887</v>
      </c>
      <c r="L22" s="31" t="n">
        <f aca="false">'Per-Hour Volume'!K6*Assumptions!H15</f>
        <v>849.056603773585</v>
      </c>
      <c r="M22" s="41" t="n">
        <f aca="false">SUM(C22:L22)</f>
        <v>5625</v>
      </c>
    </row>
    <row r="23" customFormat="false" ht="15" hidden="false" customHeight="false" outlineLevel="0" collapsed="false">
      <c r="A23" s="35" t="s">
        <v>62</v>
      </c>
      <c r="B23" s="19" t="s">
        <v>60</v>
      </c>
      <c r="C23" s="20" t="n">
        <f aca="false">'Per-Hour Volume'!B6</f>
        <v>8490.56603773585</v>
      </c>
      <c r="D23" s="20" t="n">
        <f aca="false">'Per-Hour Volume'!C6</f>
        <v>8490.56603773585</v>
      </c>
      <c r="E23" s="20" t="n">
        <f aca="false">'Per-Hour Volume'!D6</f>
        <v>7429.24528301887</v>
      </c>
      <c r="F23" s="20" t="n">
        <f aca="false">'Per-Hour Volume'!E6</f>
        <v>3183.96226415094</v>
      </c>
      <c r="G23" s="20" t="n">
        <f aca="false">'Per-Hour Volume'!F6</f>
        <v>2122.64150943396</v>
      </c>
      <c r="H23" s="20" t="n">
        <f aca="false">'Per-Hour Volume'!G6</f>
        <v>2122.64150943396</v>
      </c>
      <c r="I23" s="20" t="n">
        <f aca="false">'Per-Hour Volume'!H6</f>
        <v>2122.64150943396</v>
      </c>
      <c r="J23" s="20" t="n">
        <f aca="false">'Per-Hour Volume'!I6</f>
        <v>6367.92452830189</v>
      </c>
      <c r="K23" s="20" t="n">
        <f aca="false">'Per-Hour Volume'!J6</f>
        <v>7429.24528301887</v>
      </c>
      <c r="L23" s="20" t="n">
        <f aca="false">'Per-Hour Volume'!K6</f>
        <v>8490.56603773585</v>
      </c>
      <c r="M23" s="20" t="n">
        <f aca="false">'Per-Hour Volume'!L6</f>
        <v>56250</v>
      </c>
    </row>
    <row r="25" customFormat="false" ht="15" hidden="false" customHeight="false" outlineLevel="0" collapsed="false">
      <c r="A25" s="9" t="s">
        <v>24</v>
      </c>
      <c r="B25" s="42" t="s">
        <v>54</v>
      </c>
      <c r="C25" s="43" t="n">
        <f aca="false">'Per-Hour Volume'!B7*Assumptions!D16</f>
        <v>119.68085106383</v>
      </c>
      <c r="D25" s="43" t="n">
        <f aca="false">'Per-Hour Volume'!C7*Assumptions!D16</f>
        <v>119.68085106383</v>
      </c>
      <c r="E25" s="43" t="n">
        <f aca="false">'Per-Hour Volume'!D7*Assumptions!D16</f>
        <v>179.521276595745</v>
      </c>
      <c r="F25" s="43" t="n">
        <f aca="false">'Per-Hour Volume'!E7*Assumptions!D16</f>
        <v>418.882978723404</v>
      </c>
      <c r="G25" s="43" t="n">
        <f aca="false">'Per-Hour Volume'!F7*Assumptions!D16</f>
        <v>478.723404255319</v>
      </c>
      <c r="H25" s="43" t="n">
        <f aca="false">'Per-Hour Volume'!G7*Assumptions!D16</f>
        <v>478.723404255319</v>
      </c>
      <c r="I25" s="43" t="n">
        <f aca="false">'Per-Hour Volume'!H7*Assumptions!D16</f>
        <v>478.723404255319</v>
      </c>
      <c r="J25" s="43" t="n">
        <f aca="false">'Per-Hour Volume'!I7*Assumptions!D16</f>
        <v>239.36170212766</v>
      </c>
      <c r="K25" s="43" t="n">
        <f aca="false">'Per-Hour Volume'!J7*Assumptions!D16</f>
        <v>179.521276595745</v>
      </c>
      <c r="L25" s="43" t="n">
        <f aca="false">'Per-Hour Volume'!K7*Assumptions!D16</f>
        <v>119.68085106383</v>
      </c>
      <c r="M25" s="10" t="n">
        <f aca="false">SUM(C25:L25)</f>
        <v>2812.5</v>
      </c>
    </row>
    <row r="26" customFormat="false" ht="15" hidden="false" customHeight="false" outlineLevel="0" collapsed="false">
      <c r="A26" s="11"/>
      <c r="B26" s="42" t="s">
        <v>55</v>
      </c>
      <c r="C26" s="43" t="n">
        <f aca="false">'Per-Hour Volume'!B7*Assumptions!E16</f>
        <v>239.36170212766</v>
      </c>
      <c r="D26" s="43" t="n">
        <f aca="false">'Per-Hour Volume'!C7*Assumptions!E16</f>
        <v>239.36170212766</v>
      </c>
      <c r="E26" s="43" t="n">
        <f aca="false">'Per-Hour Volume'!D7*Assumptions!E16</f>
        <v>359.042553191489</v>
      </c>
      <c r="F26" s="43" t="n">
        <f aca="false">'Per-Hour Volume'!E7*Assumptions!E16</f>
        <v>837.765957446809</v>
      </c>
      <c r="G26" s="43" t="n">
        <f aca="false">'Per-Hour Volume'!F7*Assumptions!E16</f>
        <v>957.446808510638</v>
      </c>
      <c r="H26" s="43" t="n">
        <f aca="false">'Per-Hour Volume'!G7*Assumptions!E16</f>
        <v>957.446808510638</v>
      </c>
      <c r="I26" s="43" t="n">
        <f aca="false">'Per-Hour Volume'!H7*Assumptions!E16</f>
        <v>957.446808510638</v>
      </c>
      <c r="J26" s="43" t="n">
        <f aca="false">'Per-Hour Volume'!I7*Assumptions!E16</f>
        <v>478.723404255319</v>
      </c>
      <c r="K26" s="43" t="n">
        <f aca="false">'Per-Hour Volume'!J7*Assumptions!E16</f>
        <v>359.042553191489</v>
      </c>
      <c r="L26" s="43" t="n">
        <f aca="false">'Per-Hour Volume'!K7*Assumptions!E16</f>
        <v>239.36170212766</v>
      </c>
      <c r="M26" s="10" t="n">
        <f aca="false">SUM(C26:L26)</f>
        <v>5625</v>
      </c>
    </row>
    <row r="27" customFormat="false" ht="15" hidden="false" customHeight="false" outlineLevel="0" collapsed="false">
      <c r="A27" s="11"/>
      <c r="B27" s="42" t="s">
        <v>56</v>
      </c>
      <c r="C27" s="43" t="n">
        <f aca="false">'Per-Hour Volume'!B7*Assumptions!F16</f>
        <v>598.404255319149</v>
      </c>
      <c r="D27" s="43" t="n">
        <f aca="false">'Per-Hour Volume'!C7*Assumptions!F16</f>
        <v>598.404255319149</v>
      </c>
      <c r="E27" s="43" t="n">
        <f aca="false">'Per-Hour Volume'!D7*Assumptions!F16</f>
        <v>897.606382978723</v>
      </c>
      <c r="F27" s="43" t="n">
        <f aca="false">'Per-Hour Volume'!E7*Assumptions!F16</f>
        <v>2094.41489361702</v>
      </c>
      <c r="G27" s="43" t="n">
        <f aca="false">'Per-Hour Volume'!F7*Assumptions!F16</f>
        <v>2393.6170212766</v>
      </c>
      <c r="H27" s="43" t="n">
        <f aca="false">'Per-Hour Volume'!G7*Assumptions!F16</f>
        <v>2393.6170212766</v>
      </c>
      <c r="I27" s="43" t="n">
        <f aca="false">'Per-Hour Volume'!H7*Assumptions!F16</f>
        <v>2393.6170212766</v>
      </c>
      <c r="J27" s="43" t="n">
        <f aca="false">'Per-Hour Volume'!I7*Assumptions!F16</f>
        <v>1196.8085106383</v>
      </c>
      <c r="K27" s="43" t="n">
        <f aca="false">'Per-Hour Volume'!J7*Assumptions!F16</f>
        <v>897.606382978723</v>
      </c>
      <c r="L27" s="43" t="n">
        <f aca="false">'Per-Hour Volume'!K7*Assumptions!F16</f>
        <v>598.404255319149</v>
      </c>
      <c r="M27" s="10" t="n">
        <f aca="false">SUM(C27:L27)</f>
        <v>14062.5</v>
      </c>
    </row>
    <row r="28" customFormat="false" ht="15" hidden="false" customHeight="false" outlineLevel="0" collapsed="false">
      <c r="A28" s="11"/>
      <c r="B28" s="42" t="s">
        <v>57</v>
      </c>
      <c r="C28" s="43" t="n">
        <f aca="false">'Per-Hour Volume'!B7*Assumptions!G16</f>
        <v>598.404255319149</v>
      </c>
      <c r="D28" s="43" t="n">
        <f aca="false">'Per-Hour Volume'!C7*Assumptions!G16</f>
        <v>598.404255319149</v>
      </c>
      <c r="E28" s="43" t="n">
        <f aca="false">'Per-Hour Volume'!D7*Assumptions!G16</f>
        <v>897.606382978723</v>
      </c>
      <c r="F28" s="43" t="n">
        <f aca="false">'Per-Hour Volume'!E7*Assumptions!G16</f>
        <v>2094.41489361702</v>
      </c>
      <c r="G28" s="43" t="n">
        <f aca="false">'Per-Hour Volume'!F7*Assumptions!G16</f>
        <v>2393.6170212766</v>
      </c>
      <c r="H28" s="43" t="n">
        <f aca="false">'Per-Hour Volume'!G7*Assumptions!G16</f>
        <v>2393.6170212766</v>
      </c>
      <c r="I28" s="43" t="n">
        <f aca="false">'Per-Hour Volume'!H7*Assumptions!G16</f>
        <v>2393.6170212766</v>
      </c>
      <c r="J28" s="43" t="n">
        <f aca="false">'Per-Hour Volume'!I7*Assumptions!G16</f>
        <v>1196.8085106383</v>
      </c>
      <c r="K28" s="43" t="n">
        <f aca="false">'Per-Hour Volume'!J7*Assumptions!G16</f>
        <v>897.606382978723</v>
      </c>
      <c r="L28" s="43" t="n">
        <f aca="false">'Per-Hour Volume'!K7*Assumptions!G16</f>
        <v>598.404255319149</v>
      </c>
      <c r="M28" s="10" t="n">
        <f aca="false">SUM(C28:L28)</f>
        <v>14062.5</v>
      </c>
    </row>
    <row r="29" customFormat="false" ht="15" hidden="false" customHeight="false" outlineLevel="0" collapsed="false">
      <c r="A29" s="11"/>
      <c r="B29" s="42" t="s">
        <v>58</v>
      </c>
      <c r="C29" s="43" t="n">
        <f aca="false">'Per-Hour Volume'!B7*Assumptions!H16</f>
        <v>837.765957446808</v>
      </c>
      <c r="D29" s="43" t="n">
        <f aca="false">'Per-Hour Volume'!C7*Assumptions!H16</f>
        <v>837.765957446808</v>
      </c>
      <c r="E29" s="43" t="n">
        <f aca="false">'Per-Hour Volume'!D7*Assumptions!H16</f>
        <v>1256.64893617021</v>
      </c>
      <c r="F29" s="43" t="n">
        <f aca="false">'Per-Hour Volume'!E7*Assumptions!H16</f>
        <v>2932.18085106383</v>
      </c>
      <c r="G29" s="43" t="n">
        <f aca="false">'Per-Hour Volume'!F7*Assumptions!H16</f>
        <v>3351.06382978723</v>
      </c>
      <c r="H29" s="43" t="n">
        <f aca="false">'Per-Hour Volume'!G7*Assumptions!H16</f>
        <v>3351.06382978723</v>
      </c>
      <c r="I29" s="43" t="n">
        <f aca="false">'Per-Hour Volume'!H7*Assumptions!H16</f>
        <v>3351.06382978723</v>
      </c>
      <c r="J29" s="43" t="n">
        <f aca="false">'Per-Hour Volume'!I7*Assumptions!H16</f>
        <v>1675.53191489362</v>
      </c>
      <c r="K29" s="43" t="n">
        <f aca="false">'Per-Hour Volume'!J7*Assumptions!H16</f>
        <v>1256.64893617021</v>
      </c>
      <c r="L29" s="43" t="n">
        <f aca="false">'Per-Hour Volume'!K7*Assumptions!H16</f>
        <v>837.765957446808</v>
      </c>
      <c r="M29" s="10" t="n">
        <f aca="false">SUM(C29:L29)</f>
        <v>19687.5</v>
      </c>
    </row>
    <row r="30" customFormat="false" ht="15" hidden="false" customHeight="false" outlineLevel="0" collapsed="false">
      <c r="A30" s="35" t="s">
        <v>63</v>
      </c>
      <c r="B30" s="19" t="s">
        <v>60</v>
      </c>
      <c r="C30" s="20" t="n">
        <f aca="false">'Per-Hour Volume'!B7</f>
        <v>2393.6170212766</v>
      </c>
      <c r="D30" s="20" t="n">
        <f aca="false">'Per-Hour Volume'!C7</f>
        <v>2393.6170212766</v>
      </c>
      <c r="E30" s="20" t="n">
        <f aca="false">'Per-Hour Volume'!D7</f>
        <v>3590.42553191489</v>
      </c>
      <c r="F30" s="20" t="n">
        <f aca="false">'Per-Hour Volume'!E7</f>
        <v>8377.65957446809</v>
      </c>
      <c r="G30" s="20" t="n">
        <f aca="false">'Per-Hour Volume'!F7</f>
        <v>9574.46808510638</v>
      </c>
      <c r="H30" s="20" t="n">
        <f aca="false">'Per-Hour Volume'!G7</f>
        <v>9574.46808510638</v>
      </c>
      <c r="I30" s="20" t="n">
        <f aca="false">'Per-Hour Volume'!H7</f>
        <v>9574.46808510638</v>
      </c>
      <c r="J30" s="20" t="n">
        <f aca="false">'Per-Hour Volume'!I7</f>
        <v>4787.23404255319</v>
      </c>
      <c r="K30" s="20" t="n">
        <f aca="false">'Per-Hour Volume'!J7</f>
        <v>3590.42553191489</v>
      </c>
      <c r="L30" s="20" t="n">
        <f aca="false">'Per-Hour Volume'!K7</f>
        <v>2393.6170212766</v>
      </c>
      <c r="M30" s="20" t="n">
        <f aca="false">'Per-Hour Volume'!L7</f>
        <v>56250</v>
      </c>
    </row>
    <row r="32" customFormat="false" ht="23.85" hidden="false" customHeight="false" outlineLevel="0" collapsed="false">
      <c r="A32" s="12" t="s">
        <v>64</v>
      </c>
      <c r="B32" s="12"/>
      <c r="C32" s="44" t="n">
        <f aca="false">'Per-Hour Volume'!B8</f>
        <v>19374.7490967483</v>
      </c>
      <c r="D32" s="44" t="n">
        <f aca="false">'Per-Hour Volume'!C8</f>
        <v>19374.7490967483</v>
      </c>
      <c r="E32" s="44" t="n">
        <f aca="false">'Per-Hour Volume'!D8</f>
        <v>18448.9160979526</v>
      </c>
      <c r="F32" s="44" t="n">
        <f aca="false">'Per-Hour Volume'!E8</f>
        <v>14745.58410277</v>
      </c>
      <c r="G32" s="44" t="n">
        <f aca="false">'Per-Hour Volume'!F8</f>
        <v>13819.7511039743</v>
      </c>
      <c r="H32" s="44" t="n">
        <f aca="false">'Per-Hour Volume'!G8</f>
        <v>13819.7511039743</v>
      </c>
      <c r="I32" s="44" t="n">
        <f aca="false">'Per-Hour Volume'!H8</f>
        <v>13819.7511039743</v>
      </c>
      <c r="J32" s="44" t="n">
        <f aca="false">'Per-Hour Volume'!I8</f>
        <v>17523.083099157</v>
      </c>
      <c r="K32" s="44" t="n">
        <f aca="false">'Per-Hour Volume'!J8</f>
        <v>18448.9160979526</v>
      </c>
      <c r="L32" s="44" t="n">
        <f aca="false">'Per-Hour Volume'!K8</f>
        <v>19374.7490967483</v>
      </c>
      <c r="M32" s="44" t="n">
        <f aca="false">'Per-Hour Volume'!L8</f>
        <v>168750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2026-06-01T16:36:16Z</dcterms:created>
  <dc:creator>openpyxl</dc:creator>
  <dc:description/>
  <dc:language>en-US</dc:language>
  <cp:lastModifiedBy/>
  <dcterms:modified xsi:type="dcterms:W3CDTF">2026-06-01T16:36:16Z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