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zing" sheetId="1" state="visible" r:id="rId1"/>
    <sheet xmlns:r="http://schemas.openxmlformats.org/officeDocument/2006/relationships" name="Cluster 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F1923"/>
      <sz val="10"/>
    </font>
    <font>
      <name val="Arial"/>
      <b val="1"/>
      <color rgb="000F1923"/>
      <sz val="10"/>
    </font>
    <font>
      <name val="Arial"/>
      <color rgb="000000FF"/>
      <sz val="10"/>
    </font>
    <font>
      <name val="Arial"/>
      <b val="1"/>
      <color rgb="00C84B1F"/>
      <sz val="10"/>
    </font>
    <font>
      <name val="Arial"/>
      <b val="1"/>
      <color rgb="001A6B3A"/>
      <sz val="9"/>
    </font>
    <font>
      <name val="Arial"/>
      <b val="1"/>
      <color rgb="00FFFFFF"/>
      <sz val="11"/>
    </font>
    <font>
      <name val="Arial"/>
      <color rgb="00FFFFFF"/>
      <sz val="9"/>
    </font>
    <font>
      <name val="Arial"/>
      <b val="1"/>
      <color rgb="001A6B3A"/>
      <sz val="10"/>
    </font>
    <font>
      <name val="Arial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F5F2EB"/>
      </patternFill>
    </fill>
    <fill>
      <patternFill patternType="solid">
        <fgColor rgb="001A3A5C"/>
      </patternFill>
    </fill>
    <fill>
      <patternFill patternType="solid">
        <fgColor rgb="00F7F5F0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A4A7A"/>
      </patternFill>
    </fill>
    <fill>
      <patternFill patternType="solid">
        <fgColor rgb="00E3F2FD"/>
      </patternFill>
    </fill>
    <fill>
      <patternFill patternType="solid">
        <fgColor rgb="00B8860B"/>
      </patternFill>
    </fill>
    <fill>
      <patternFill patternType="solid">
        <fgColor rgb="001A6B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indent="1"/>
    </xf>
    <xf numFmtId="0" fontId="3" fillId="9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 inden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indent="1"/>
    </xf>
    <xf numFmtId="164" fontId="10" fillId="9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 indent="1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indent="1"/>
    </xf>
    <xf numFmtId="164" fontId="10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 indent="1"/>
    </xf>
    <xf numFmtId="0" fontId="12" fillId="7" borderId="1" applyAlignment="1" pivotButton="0" quotePrefix="0" xfId="0">
      <alignment horizontal="center" vertical="center" wrapText="1"/>
    </xf>
    <xf numFmtId="164" fontId="13" fillId="10" borderId="1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26" customWidth="1" min="9" max="9"/>
  </cols>
  <sheetData>
    <row r="1" ht="30" customHeight="1">
      <c r="A1" s="1" t="inlineStr">
        <is>
          <t>ENCOMPASS → COUCHBASE  |  Cluster Config &amp; Cost — Mortgage Bucket</t>
        </is>
      </c>
    </row>
    <row r="2" ht="16" customHeight="1">
      <c r="A2" s="2" t="inlineStr">
        <is>
          <t>Wintrust Financial · DataHub Platform · April 2026 · DRAFT  |  Existing prod: 14 nodes · 22,000 credits/mo · $39,600/mo · Designed for 6TB / 10GB active</t>
        </is>
      </c>
    </row>
    <row r="3" ht="8" customHeight="1"/>
    <row r="4" ht="20" customHeight="1">
      <c r="A4" s="3" t="inlineStr">
        <is>
          <t xml:space="preserve">  STEP 1 — DATA VOLUME ESTIMATE  (90K Loan Accounts)</t>
        </is>
      </c>
    </row>
    <row r="5" ht="28" customHeight="1">
      <c r="A5" s="4" t="inlineStr"/>
      <c r="B5" s="4" t="inlineStr">
        <is>
          <t>Layer</t>
        </is>
      </c>
      <c r="C5" s="4" t="inlineStr">
        <is>
          <t>Docs</t>
        </is>
      </c>
      <c r="D5" s="4" t="inlineStr">
        <is>
          <t>Avg Size</t>
        </is>
      </c>
      <c r="E5" s="4" t="inlineStr">
        <is>
          <t>Raw Data</t>
        </is>
      </c>
      <c r="F5" s="4" t="inlineStr">
        <is>
          <t>Replicas</t>
        </is>
      </c>
      <c r="G5" s="4" t="inlineStr">
        <is>
          <t>Total on Disk</t>
        </is>
      </c>
      <c r="H5" s="4" t="inlineStr">
        <is>
          <t>In RAM?</t>
        </is>
      </c>
      <c r="I5" s="4" t="inlineStr">
        <is>
          <t>Notes</t>
        </is>
      </c>
    </row>
    <row r="6" ht="36" customHeight="1">
      <c r="A6" s="5" t="inlineStr"/>
      <c r="B6" s="6" t="inlineStr">
        <is>
          <t>Avg Encompass loan doc
(fully merged JSON, ~700 fields)</t>
        </is>
      </c>
      <c r="C6" s="7" t="inlineStr">
        <is>
          <t>90,000</t>
        </is>
      </c>
      <c r="D6" s="7" t="inlineStr">
        <is>
          <t>80 KB</t>
        </is>
      </c>
      <c r="E6" s="7" t="inlineStr">
        <is>
          <t>7.2 GB</t>
        </is>
      </c>
      <c r="F6" s="7" t="inlineStr">
        <is>
          <t>1</t>
        </is>
      </c>
      <c r="G6" s="7" t="inlineStr">
        <is>
          <t>14.4 GB</t>
        </is>
      </c>
      <c r="H6" s="8" t="inlineStr">
        <is>
          <t>100%</t>
        </is>
      </c>
      <c r="I6" s="8" t="inlineStr">
        <is>
          <t>80KB = realistic for populated Encompass fields; Pankaj baseline 4GB active working set</t>
        </is>
      </c>
    </row>
    <row r="7" ht="36" customHeight="1">
      <c r="A7" s="9" t="inlineStr"/>
      <c r="B7" s="10" t="inlineStr">
        <is>
          <t>Semantic layer
(projection for downstream)</t>
        </is>
      </c>
      <c r="C7" s="11" t="inlineStr">
        <is>
          <t>90,000</t>
        </is>
      </c>
      <c r="D7" s="11" t="inlineStr">
        <is>
          <t>25 KB</t>
        </is>
      </c>
      <c r="E7" s="11" t="inlineStr">
        <is>
          <t>2.3 GB</t>
        </is>
      </c>
      <c r="F7" s="11" t="inlineStr">
        <is>
          <t>1</t>
        </is>
      </c>
      <c r="G7" s="11" t="inlineStr">
        <is>
          <t>4.6 GB</t>
        </is>
      </c>
      <c r="H7" s="12" t="inlineStr">
        <is>
          <t>100%</t>
        </is>
      </c>
      <c r="I7" s="12" t="inlineStr">
        <is>
          <t>Stripped view — smaller than process layer</t>
        </is>
      </c>
    </row>
    <row r="8" ht="36" customHeight="1">
      <c r="A8" s="5" t="inlineStr"/>
      <c r="B8" s="6" t="inlineStr">
        <is>
          <t>Landing layer
(2-day TTL — raw webhook events)</t>
        </is>
      </c>
      <c r="C8" s="7" t="inlineStr">
        <is>
          <t>1,260,000</t>
        </is>
      </c>
      <c r="D8" s="7" t="inlineStr">
        <is>
          <t>2 KB</t>
        </is>
      </c>
      <c r="E8" s="7" t="inlineStr">
        <is>
          <t>2.5 GB</t>
        </is>
      </c>
      <c r="F8" s="7" t="inlineStr">
        <is>
          <t>1</t>
        </is>
      </c>
      <c r="G8" s="7" t="inlineStr">
        <is>
          <t>5.0 GB</t>
        </is>
      </c>
      <c r="H8" s="8" t="inlineStr">
        <is>
          <t>20%</t>
        </is>
      </c>
      <c r="I8" s="8" t="inlineStr">
        <is>
          <t>7 events/loan/day × 2 days × 90K = 1.26M docs; write-heavy, mostly not queried</t>
        </is>
      </c>
    </row>
    <row r="9" ht="36" customHeight="1">
      <c r="A9" s="9" t="inlineStr"/>
      <c r="B9" s="10" t="inlineStr">
        <is>
          <t>Indexes (N1QL)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1.5 GB</t>
        </is>
      </c>
      <c r="F9" s="11" t="inlineStr">
        <is>
          <t>—</t>
        </is>
      </c>
      <c r="G9" s="11" t="inlineStr">
        <is>
          <t>1.5 GB</t>
        </is>
      </c>
      <c r="H9" s="12" t="inlineStr">
        <is>
          <t>100%</t>
        </is>
      </c>
      <c r="I9" s="12" t="inlineStr">
        <is>
          <t>Covering indexes on loanGuid, status, lastModified</t>
        </is>
      </c>
    </row>
    <row r="10" ht="42" customHeight="1">
      <c r="A10" s="13" t="inlineStr"/>
      <c r="B10" s="14" t="inlineStr">
        <is>
          <t>TOTAL (PROD)</t>
        </is>
      </c>
      <c r="C10" s="14" t="inlineStr">
        <is>
          <t>~1.35M</t>
        </is>
      </c>
      <c r="D10" s="14" t="inlineStr">
        <is>
          <t>—</t>
        </is>
      </c>
      <c r="E10" s="14" t="inlineStr">
        <is>
          <t>~13.5 GB</t>
        </is>
      </c>
      <c r="F10" s="14" t="inlineStr">
        <is>
          <t>—</t>
        </is>
      </c>
      <c r="G10" s="14" t="inlineStr">
        <is>
          <t>~25.5 GB</t>
        </is>
      </c>
      <c r="H10" s="14" t="inlineStr">
        <is>
          <t>~4 GB
working set</t>
        </is>
      </c>
      <c r="I10" s="14" t="inlineStr">
        <is>
          <t>Well within existing cluster capacity (5TB disk, 10GB active design)</t>
        </is>
      </c>
    </row>
    <row r="12" ht="20" customHeight="1">
      <c r="A12" s="3" t="inlineStr">
        <is>
          <t xml:space="preserve">  STEP 2 — CREDIT UNIT BASELINE  (Derived from Existing Cluster)</t>
        </is>
      </c>
    </row>
    <row r="13" ht="28" customHeight="1">
      <c r="A13" s="4" t="inlineStr"/>
      <c r="B13" s="4" t="inlineStr">
        <is>
          <t>Node Type</t>
        </is>
      </c>
      <c r="C13" s="4" t="inlineStr">
        <is>
          <t>vCPU</t>
        </is>
      </c>
      <c r="D13" s="4" t="inlineStr">
        <is>
          <t>RAM</t>
        </is>
      </c>
      <c r="E13" s="4" t="inlineStr">
        <is>
          <t>Example Service</t>
        </is>
      </c>
      <c r="F13" s="4" t="inlineStr">
        <is>
          <t>Nodes in Prod</t>
        </is>
      </c>
      <c r="G13" s="4" t="inlineStr">
        <is>
          <t>Est Credits/Node/Mo</t>
        </is>
      </c>
      <c r="H13" s="4" t="inlineStr">
        <is>
          <t>Total Credits</t>
        </is>
      </c>
      <c r="I13" s="4" t="inlineStr">
        <is>
          <t>Derivation</t>
        </is>
      </c>
    </row>
    <row r="14" ht="22" customHeight="1">
      <c r="A14" s="5" t="inlineStr"/>
      <c r="B14" s="8" t="inlineStr">
        <is>
          <t>32 vCPU  64 GB</t>
        </is>
      </c>
      <c r="C14" s="7" t="inlineStr">
        <is>
          <t>32</t>
        </is>
      </c>
      <c r="D14" s="7" t="inlineStr">
        <is>
          <t>64 GB</t>
        </is>
      </c>
      <c r="E14" s="8" t="inlineStr">
        <is>
          <t>Data / Index</t>
        </is>
      </c>
      <c r="F14" s="8" t="inlineStr">
        <is>
          <t>8</t>
        </is>
      </c>
      <c r="G14" s="7" t="inlineStr">
        <is>
          <t>2,000</t>
        </is>
      </c>
      <c r="H14" s="8">
        <f>G{r}*F{r}</f>
        <v/>
      </c>
      <c r="I14" s="8" t="inlineStr">
        <is>
          <t>Derived: 8×2x + 6×x = 22,000 → x=1,000</t>
        </is>
      </c>
    </row>
    <row r="15" ht="22" customHeight="1">
      <c r="A15" s="9" t="inlineStr"/>
      <c r="B15" s="12" t="inlineStr">
        <is>
          <t>16 vCPU  64 GB</t>
        </is>
      </c>
      <c r="C15" s="11" t="inlineStr">
        <is>
          <t>16</t>
        </is>
      </c>
      <c r="D15" s="11" t="inlineStr">
        <is>
          <t>64 GB</t>
        </is>
      </c>
      <c r="E15" s="12" t="inlineStr">
        <is>
          <t>Query / Eventing</t>
        </is>
      </c>
      <c r="F15" s="12" t="inlineStr">
        <is>
          <t>6</t>
        </is>
      </c>
      <c r="G15" s="11" t="inlineStr">
        <is>
          <t>1,000</t>
        </is>
      </c>
      <c r="H15" s="12">
        <f>G{r}*F{r}</f>
        <v/>
      </c>
      <c r="I15" s="12" t="inlineStr">
        <is>
          <t>Half of 32vCPU node</t>
        </is>
      </c>
    </row>
    <row r="16" ht="22" customHeight="1">
      <c r="A16" s="5" t="inlineStr"/>
      <c r="B16" s="8" t="inlineStr">
        <is>
          <t>8 vCPU   32 GB</t>
        </is>
      </c>
      <c r="C16" s="7" t="inlineStr">
        <is>
          <t>8</t>
        </is>
      </c>
      <c r="D16" s="7" t="inlineStr">
        <is>
          <t>32 GB</t>
        </is>
      </c>
      <c r="E16" s="8" t="inlineStr">
        <is>
          <t>Small Data/Eventing</t>
        </is>
      </c>
      <c r="F16" s="8" t="inlineStr">
        <is>
          <t>—</t>
        </is>
      </c>
      <c r="G16" s="7" t="inlineStr">
        <is>
          <t>500</t>
        </is>
      </c>
      <c r="H16" s="8" t="inlineStr">
        <is>
          <t>—</t>
        </is>
      </c>
      <c r="I16" s="8" t="inlineStr">
        <is>
          <t>Proportional estimate</t>
        </is>
      </c>
    </row>
    <row r="17" ht="22" customHeight="1">
      <c r="A17" s="9" t="inlineStr"/>
      <c r="B17" s="12" t="inlineStr">
        <is>
          <t>4 vCPU   16 GB</t>
        </is>
      </c>
      <c r="C17" s="11" t="inlineStr">
        <is>
          <t>4</t>
        </is>
      </c>
      <c r="D17" s="11" t="inlineStr">
        <is>
          <t>16 GB</t>
        </is>
      </c>
      <c r="E17" s="12" t="inlineStr">
        <is>
          <t>Small Index/Query</t>
        </is>
      </c>
      <c r="F17" s="12" t="inlineStr">
        <is>
          <t>—</t>
        </is>
      </c>
      <c r="G17" s="11" t="inlineStr">
        <is>
          <t>250</t>
        </is>
      </c>
      <c r="H17" s="12" t="inlineStr">
        <is>
          <t>—</t>
        </is>
      </c>
      <c r="I17" s="12" t="inlineStr">
        <is>
          <t>Proportional estimate</t>
        </is>
      </c>
    </row>
    <row r="18" ht="18" customHeight="1">
      <c r="A18" s="15" t="inlineStr">
        <is>
          <t xml:space="preserve">  VALIDATION: 5 nodes × 2,000 + 3 nodes × 2,000 + 3 nodes × 1,000 + 3 nodes × 1,000 = 22,000 credits ✓</t>
        </is>
      </c>
    </row>
  </sheetData>
  <mergeCells count="5">
    <mergeCell ref="A2:I2"/>
    <mergeCell ref="A1:I1"/>
    <mergeCell ref="A18:I18"/>
    <mergeCell ref="A12:I12"/>
    <mergeCell ref="A4:I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26" customWidth="1" min="9" max="9"/>
  </cols>
  <sheetData>
    <row r="1" ht="30" customHeight="1">
      <c r="A1" s="1" t="inlineStr">
        <is>
          <t>CLUSTER OPTIONS COMPARISON — New Cluster vs Existing Cluster</t>
        </is>
      </c>
    </row>
    <row r="2" ht="8" customHeight="1"/>
    <row r="3" ht="20" customHeight="1">
      <c r="A3" s="16" t="inlineStr">
        <is>
          <t xml:space="preserve">  OPTION A — NEW CLUSTER · CONSOLIDATED (Recommended if new cluster required)</t>
        </is>
      </c>
    </row>
    <row r="4" ht="28" customHeight="1">
      <c r="A4" s="17" t="inlineStr"/>
      <c r="B4" s="17" t="inlineStr">
        <is>
          <t>Service Group</t>
        </is>
      </c>
      <c r="C4" s="17" t="inlineStr">
        <is>
          <t>Nodes</t>
        </is>
      </c>
      <c r="D4" s="17" t="inlineStr">
        <is>
          <t>vCPU</t>
        </is>
      </c>
      <c r="E4" s="17" t="inlineStr">
        <is>
          <t>RAM</t>
        </is>
      </c>
      <c r="F4" s="17" t="inlineStr">
        <is>
          <t>Disk</t>
        </is>
      </c>
      <c r="G4" s="17" t="inlineStr">
        <is>
          <t>Services</t>
        </is>
      </c>
      <c r="H4" s="17" t="inlineStr">
        <is>
          <t>Credits/Mo</t>
        </is>
      </c>
      <c r="I4" s="17" t="inlineStr">
        <is>
          <t>Rationale</t>
        </is>
      </c>
    </row>
    <row r="5" ht="36" customHeight="1">
      <c r="A5" s="18" t="inlineStr"/>
      <c r="B5" s="19" t="inlineStr">
        <is>
          <t>Group 1 — Data + Eventing</t>
        </is>
      </c>
      <c r="C5" s="20" t="inlineStr">
        <is>
          <t>3</t>
        </is>
      </c>
      <c r="D5" s="20" t="inlineStr">
        <is>
          <t>8 vCPU</t>
        </is>
      </c>
      <c r="E5" s="20" t="inlineStr">
        <is>
          <t>32 GB</t>
        </is>
      </c>
      <c r="F5" s="20" t="inlineStr">
        <is>
          <t>256 GB</t>
        </is>
      </c>
      <c r="G5" s="21" t="inlineStr">
        <is>
          <t>Data · Eventing</t>
        </is>
      </c>
      <c r="H5" s="20">
        <f>3*500</f>
        <v/>
      </c>
      <c r="I5" s="21" t="inlineStr">
        <is>
          <t>Data vol 4GB active fits 32GB RAM easily; eventing co-located saves nodes</t>
        </is>
      </c>
    </row>
    <row r="6" ht="36" customHeight="1">
      <c r="A6" s="18" t="inlineStr"/>
      <c r="B6" s="19" t="inlineStr">
        <is>
          <t>Group 2 — Index + Query</t>
        </is>
      </c>
      <c r="C6" s="20" t="inlineStr">
        <is>
          <t>2</t>
        </is>
      </c>
      <c r="D6" s="20" t="inlineStr">
        <is>
          <t>4 vCPU</t>
        </is>
      </c>
      <c r="E6" s="20" t="inlineStr">
        <is>
          <t>16 GB</t>
        </is>
      </c>
      <c r="F6" s="20" t="inlineStr">
        <is>
          <t>64 GB</t>
        </is>
      </c>
      <c r="G6" s="21" t="inlineStr">
        <is>
          <t>Index · Query</t>
        </is>
      </c>
      <c r="H6" s="20">
        <f>2*250</f>
        <v/>
      </c>
      <c r="I6" s="21" t="inlineStr">
        <is>
          <t>Mortgage queries are simple lookups — combined index+query on 2 nodes sufficient</t>
        </is>
      </c>
    </row>
    <row r="7" ht="22" customHeight="1">
      <c r="A7" s="22" t="inlineStr"/>
      <c r="B7" s="23" t="inlineStr">
        <is>
          <t>TOTAL — Option A</t>
        </is>
      </c>
      <c r="C7" s="23" t="inlineStr">
        <is>
          <t>5 nodes</t>
        </is>
      </c>
      <c r="D7" s="23" t="inlineStr">
        <is>
          <t>—</t>
        </is>
      </c>
      <c r="E7" s="23" t="inlineStr">
        <is>
          <t>—</t>
        </is>
      </c>
      <c r="F7" s="23" t="inlineStr">
        <is>
          <t>—</t>
        </is>
      </c>
      <c r="G7" s="23" t="inlineStr">
        <is>
          <t>—</t>
        </is>
      </c>
      <c r="H7" s="14">
        <f>I5+I6</f>
        <v/>
      </c>
      <c r="I7" s="23" t="inlineStr">
        <is>
          <t>Minimum viable HA cluster</t>
        </is>
      </c>
    </row>
    <row r="8" ht="22" customHeight="1">
      <c r="A8" s="24" t="inlineStr">
        <is>
          <t xml:space="preserve">  Option A Monthly Cost →</t>
        </is>
      </c>
      <c r="H8" s="25">
        <f>I7*1.8</f>
        <v/>
      </c>
      <c r="I8" s="26" t="inlineStr">
        <is>
          <t>Credits × $1.80 per credit</t>
        </is>
      </c>
    </row>
    <row r="10" ht="20" customHeight="1">
      <c r="A10" s="27" t="inlineStr">
        <is>
          <t xml:space="preserve">  OPTION B — NEW CLUSTER · ISOLATED SERVICE GROUPS (If operational isolation preferred)</t>
        </is>
      </c>
    </row>
    <row r="11" ht="28" customHeight="1">
      <c r="A11" s="28" t="inlineStr"/>
      <c r="B11" s="28" t="inlineStr">
        <is>
          <t>Service Group</t>
        </is>
      </c>
      <c r="C11" s="28" t="inlineStr">
        <is>
          <t>Nodes</t>
        </is>
      </c>
      <c r="D11" s="28" t="inlineStr">
        <is>
          <t>vCPU</t>
        </is>
      </c>
      <c r="E11" s="28" t="inlineStr">
        <is>
          <t>RAM</t>
        </is>
      </c>
      <c r="F11" s="28" t="inlineStr">
        <is>
          <t>Disk</t>
        </is>
      </c>
      <c r="G11" s="28" t="inlineStr">
        <is>
          <t>Services</t>
        </is>
      </c>
      <c r="H11" s="28" t="inlineStr">
        <is>
          <t>Credits/Mo</t>
        </is>
      </c>
      <c r="I11" s="28" t="inlineStr">
        <is>
          <t>Rationale</t>
        </is>
      </c>
    </row>
    <row r="12" ht="36" customHeight="1">
      <c r="A12" s="29" t="inlineStr"/>
      <c r="B12" s="23" t="inlineStr">
        <is>
          <t>Group 1 — Data</t>
        </is>
      </c>
      <c r="C12" s="30" t="inlineStr">
        <is>
          <t>3</t>
        </is>
      </c>
      <c r="D12" s="30" t="inlineStr">
        <is>
          <t>4 vCPU</t>
        </is>
      </c>
      <c r="E12" s="30" t="inlineStr">
        <is>
          <t>16 GB</t>
        </is>
      </c>
      <c r="F12" s="30" t="inlineStr">
        <is>
          <t>256 GB</t>
        </is>
      </c>
      <c r="G12" s="31" t="inlineStr">
        <is>
          <t>Data only</t>
        </is>
      </c>
      <c r="H12" s="30">
        <f>3*250</f>
        <v/>
      </c>
      <c r="I12" s="31" t="inlineStr">
        <is>
          <t>3 nodes minimum for HA; 16GB RAM &gt; 4GB active working set with headroom</t>
        </is>
      </c>
    </row>
    <row r="13" ht="36" customHeight="1">
      <c r="A13" s="29" t="inlineStr"/>
      <c r="B13" s="23" t="inlineStr">
        <is>
          <t>Group 2 — Index</t>
        </is>
      </c>
      <c r="C13" s="30" t="inlineStr">
        <is>
          <t>2</t>
        </is>
      </c>
      <c r="D13" s="30" t="inlineStr">
        <is>
          <t>4 vCPU</t>
        </is>
      </c>
      <c r="E13" s="30" t="inlineStr">
        <is>
          <t>16 GB</t>
        </is>
      </c>
      <c r="F13" s="30" t="inlineStr">
        <is>
          <t>64 GB</t>
        </is>
      </c>
      <c r="G13" s="31" t="inlineStr">
        <is>
          <t>Index only</t>
        </is>
      </c>
      <c r="H13" s="30">
        <f>2*250</f>
        <v/>
      </c>
      <c r="I13" s="31" t="inlineStr">
        <is>
          <t>2 index nodes sufficient for mortgage query patterns</t>
        </is>
      </c>
    </row>
    <row r="14" ht="36" customHeight="1">
      <c r="A14" s="29" t="inlineStr"/>
      <c r="B14" s="23" t="inlineStr">
        <is>
          <t>Group 3 — Query</t>
        </is>
      </c>
      <c r="C14" s="30" t="inlineStr">
        <is>
          <t>2</t>
        </is>
      </c>
      <c r="D14" s="30" t="inlineStr">
        <is>
          <t>4 vCPU</t>
        </is>
      </c>
      <c r="E14" s="30" t="inlineStr">
        <is>
          <t>16 GB</t>
        </is>
      </c>
      <c r="F14" s="30" t="inlineStr">
        <is>
          <t>64 GB</t>
        </is>
      </c>
      <c r="G14" s="31" t="inlineStr">
        <is>
          <t>Query only</t>
        </is>
      </c>
      <c r="H14" s="30">
        <f>2*250</f>
        <v/>
      </c>
      <c r="I14" s="31" t="inlineStr">
        <is>
          <t>2 query nodes for concurrent downstream API requests</t>
        </is>
      </c>
    </row>
    <row r="15" ht="36" customHeight="1">
      <c r="A15" s="29" t="inlineStr"/>
      <c r="B15" s="23" t="inlineStr">
        <is>
          <t>Group 4 — Eventing</t>
        </is>
      </c>
      <c r="C15" s="30" t="inlineStr">
        <is>
          <t>2</t>
        </is>
      </c>
      <c r="D15" s="30" t="inlineStr">
        <is>
          <t>4 vCPU</t>
        </is>
      </c>
      <c r="E15" s="30" t="inlineStr">
        <is>
          <t>16 GB</t>
        </is>
      </c>
      <c r="F15" s="30" t="inlineStr">
        <is>
          <t>64 GB</t>
        </is>
      </c>
      <c r="G15" s="31" t="inlineStr">
        <is>
          <t>Eventing only</t>
        </is>
      </c>
      <c r="H15" s="30">
        <f>2*250</f>
        <v/>
      </c>
      <c r="I15" s="31" t="inlineStr">
        <is>
          <t>2 eventing nodes for Sub-Doc merge functions; mortgage event rate is low vs payments</t>
        </is>
      </c>
    </row>
    <row r="16" ht="22" customHeight="1">
      <c r="A16" s="22" t="inlineStr"/>
      <c r="B16" s="23" t="inlineStr">
        <is>
          <t>TOTAL — Option B</t>
        </is>
      </c>
      <c r="C16" s="23" t="inlineStr">
        <is>
          <t>9 nodes</t>
        </is>
      </c>
      <c r="D16" s="23" t="inlineStr">
        <is>
          <t>—</t>
        </is>
      </c>
      <c r="E16" s="23" t="inlineStr">
        <is>
          <t>—</t>
        </is>
      </c>
      <c r="F16" s="23" t="inlineStr">
        <is>
          <t>—</t>
        </is>
      </c>
      <c r="G16" s="23" t="inlineStr">
        <is>
          <t>—</t>
        </is>
      </c>
      <c r="H16" s="14">
        <f>I12+I13+I14+I15</f>
        <v/>
      </c>
      <c r="I16" s="23" t="inlineStr">
        <is>
          <t>Full isolation — future-proof for growth</t>
        </is>
      </c>
    </row>
    <row r="17" ht="22" customHeight="1">
      <c r="A17" s="32" t="inlineStr">
        <is>
          <t xml:space="preserve">  Option B Monthly Cost →</t>
        </is>
      </c>
      <c r="H17" s="33">
        <f>I16*1.8</f>
        <v/>
      </c>
      <c r="I17" s="34" t="inlineStr">
        <is>
          <t>Credits × $1.80</t>
        </is>
      </c>
    </row>
    <row r="19" ht="20" customHeight="1">
      <c r="A19" s="35" t="inlineStr">
        <is>
          <t xml:space="preserve">  OPTION C — EXISTING CLUSTER · NEW BUCKET (Strongly Recommended — Best Value)</t>
        </is>
      </c>
    </row>
    <row r="20" ht="28" customHeight="1">
      <c r="A20" s="36" t="inlineStr"/>
      <c r="B20" s="36" t="inlineStr">
        <is>
          <t>Component</t>
        </is>
      </c>
      <c r="C20" s="36" t="inlineStr">
        <is>
          <t>Action</t>
        </is>
      </c>
      <c r="D20" s="36" t="inlineStr">
        <is>
          <t>Current Capacity</t>
        </is>
      </c>
      <c r="E20" s="36" t="inlineStr">
        <is>
          <t>Mortgage Usage</t>
        </is>
      </c>
      <c r="F20" s="36" t="inlineStr">
        <is>
          <t>Headroom</t>
        </is>
      </c>
      <c r="G20" s="36" t="inlineStr">
        <is>
          <t>Additional Credits</t>
        </is>
      </c>
      <c r="H20" s="36" t="inlineStr">
        <is>
          <t>Additional Cost/Mo</t>
        </is>
      </c>
      <c r="I20" s="36" t="inlineStr">
        <is>
          <t>Notes</t>
        </is>
      </c>
    </row>
    <row r="21" ht="32" customHeight="1">
      <c r="A21" s="37" t="inlineStr"/>
      <c r="B21" s="38" t="inlineStr">
        <is>
          <t>Data nodes (5×32vCPU 64GB 1TB)</t>
        </is>
      </c>
      <c r="C21" s="39" t="inlineStr">
        <is>
          <t>Add mortgage bucket</t>
        </is>
      </c>
      <c r="D21" s="40" t="inlineStr">
        <is>
          <t>6TB disk / 10GB active design</t>
        </is>
      </c>
      <c r="E21" s="40" t="inlineStr">
        <is>
          <t>~25GB disk / 4GB active</t>
        </is>
      </c>
      <c r="F21" s="39" t="inlineStr">
        <is>
          <t>AMPLE</t>
        </is>
      </c>
      <c r="G21" s="40" t="inlineStr">
        <is>
          <t>0</t>
        </is>
      </c>
      <c r="H21" s="40" t="inlineStr">
        <is>
          <t>$0</t>
        </is>
      </c>
      <c r="I21" s="39" t="inlineStr">
        <is>
          <t>5TB+ free disk; 4GB mortgage &lt;&lt; 10GB design limit</t>
        </is>
      </c>
    </row>
    <row r="22" ht="32" customHeight="1">
      <c r="A22" s="37" t="inlineStr"/>
      <c r="B22" s="38" t="inlineStr">
        <is>
          <t>Index nodes (3×32vCPU 64GB)</t>
        </is>
      </c>
      <c r="C22" s="39" t="inlineStr">
        <is>
          <t>Add mortgage indexes</t>
        </is>
      </c>
      <c r="D22" s="40" t="inlineStr">
        <is>
          <t>High capacity</t>
        </is>
      </c>
      <c r="E22" s="40" t="inlineStr">
        <is>
          <t>~1.5GB indexes</t>
        </is>
      </c>
      <c r="F22" s="39" t="inlineStr">
        <is>
          <t>AMPLE</t>
        </is>
      </c>
      <c r="G22" s="40" t="inlineStr">
        <is>
          <t>0</t>
        </is>
      </c>
      <c r="H22" s="40" t="inlineStr">
        <is>
          <t>$0</t>
        </is>
      </c>
      <c r="I22" s="39" t="inlineStr">
        <is>
          <t>Mortgage indexes tiny vs payments</t>
        </is>
      </c>
    </row>
    <row r="23" ht="32" customHeight="1">
      <c r="A23" s="37" t="inlineStr"/>
      <c r="B23" s="38" t="inlineStr">
        <is>
          <t>Query nodes (3×16vCPU 64GB)</t>
        </is>
      </c>
      <c r="C23" s="39" t="inlineStr">
        <is>
          <t>No change needed</t>
        </is>
      </c>
      <c r="D23" s="40" t="inlineStr">
        <is>
          <t>High capacity</t>
        </is>
      </c>
      <c r="E23" s="40" t="inlineStr">
        <is>
          <t>Low query volume</t>
        </is>
      </c>
      <c r="F23" s="39" t="inlineStr">
        <is>
          <t>AMPLE</t>
        </is>
      </c>
      <c r="G23" s="40" t="inlineStr">
        <is>
          <t>0</t>
        </is>
      </c>
      <c r="H23" s="40" t="inlineStr">
        <is>
          <t>$0</t>
        </is>
      </c>
      <c r="I23" s="39" t="inlineStr">
        <is>
          <t>90K loans = low concurrent query vs payments</t>
        </is>
      </c>
    </row>
    <row r="24" ht="32" customHeight="1">
      <c r="A24" s="37" t="inlineStr"/>
      <c r="B24" s="38" t="inlineStr">
        <is>
          <t>Eventing nodes (3×16vCPU 64GB)</t>
        </is>
      </c>
      <c r="C24" s="39" t="inlineStr">
        <is>
          <t>Deploy 2 new eventing functions</t>
        </is>
      </c>
      <c r="D24" s="40" t="inlineStr">
        <is>
          <t>3 eventing nodes</t>
        </is>
      </c>
      <c r="E24" s="40" t="inlineStr">
        <is>
          <t>2 functions (merge + semantic)</t>
        </is>
      </c>
      <c r="F24" s="39" t="inlineStr">
        <is>
          <t>AMPLE</t>
        </is>
      </c>
      <c r="G24" s="40" t="inlineStr">
        <is>
          <t>~200</t>
        </is>
      </c>
      <c r="H24" s="40" t="inlineStr">
        <is>
          <t>~$360</t>
        </is>
      </c>
      <c r="I24" s="39" t="inlineStr">
        <is>
          <t>Marginal credit increase for 2 additional eventing functions</t>
        </is>
      </c>
    </row>
    <row r="25" ht="32" customHeight="1">
      <c r="A25" s="37" t="inlineStr"/>
      <c r="B25" s="38" t="inlineStr">
        <is>
          <t>Storage (new data — 25.5GB with replica)</t>
        </is>
      </c>
      <c r="C25" s="39" t="inlineStr">
        <is>
          <t>Automatic</t>
        </is>
      </c>
      <c r="D25" s="40" t="inlineStr">
        <is>
          <t>1TB per data node</t>
        </is>
      </c>
      <c r="E25" s="40" t="inlineStr">
        <is>
          <t>~8.5GB per data node added</t>
        </is>
      </c>
      <c r="F25" s="39" t="inlineStr">
        <is>
          <t>AMPLE</t>
        </is>
      </c>
      <c r="G25" s="40" t="inlineStr">
        <is>
          <t>~100</t>
        </is>
      </c>
      <c r="H25" s="40" t="inlineStr">
        <is>
          <t>~$180</t>
        </is>
      </c>
      <c r="I25" s="39" t="inlineStr">
        <is>
          <t>Storage credits at ~$0.15/GB/mo equivalent</t>
        </is>
      </c>
    </row>
    <row r="26" ht="22" customHeight="1">
      <c r="A26" s="41" t="inlineStr"/>
      <c r="B26" s="42" t="inlineStr">
        <is>
          <t>TOTAL ADDITIONAL — Option C</t>
        </is>
      </c>
      <c r="C26" s="42" t="inlineStr">
        <is>
          <t>New bucket only</t>
        </is>
      </c>
      <c r="D26" s="42" t="inlineStr">
        <is>
          <t>—</t>
        </is>
      </c>
      <c r="E26" s="42" t="inlineStr">
        <is>
          <t>—</t>
        </is>
      </c>
      <c r="F26" s="42" t="inlineStr">
        <is>
          <t>—</t>
        </is>
      </c>
      <c r="G26" s="42" t="inlineStr">
        <is>
          <t>~300</t>
        </is>
      </c>
      <c r="H26" s="42" t="inlineStr">
        <is>
          <t>~$540/mo</t>
        </is>
      </c>
      <c r="I26" s="42" t="inlineStr">
        <is>
          <t>vs $2,250–4,050 for new cluster</t>
        </is>
      </c>
    </row>
    <row r="28" ht="20" customHeight="1">
      <c r="A28" s="3" t="inlineStr">
        <is>
          <t xml:space="preserve">  COST SUMMARY &amp; RECOMMENDATION</t>
        </is>
      </c>
    </row>
    <row r="29" ht="28" customHeight="1">
      <c r="A29" s="4" t="inlineStr"/>
      <c r="B29" s="4" t="inlineStr">
        <is>
          <t>Option</t>
        </is>
      </c>
      <c r="C29" s="4" t="inlineStr">
        <is>
          <t>New Cluster?</t>
        </is>
      </c>
      <c r="D29" s="4" t="inlineStr">
        <is>
          <t>Nodes</t>
        </is>
      </c>
      <c r="E29" s="4" t="inlineStr">
        <is>
          <t>Credits/Mo</t>
        </is>
      </c>
      <c r="F29" s="4" t="inlineStr">
        <is>
          <t>Cost/Mo</t>
        </is>
      </c>
      <c r="G29" s="4" t="inlineStr">
        <is>
          <t>Cost/Year</t>
        </is>
      </c>
      <c r="H29" s="4" t="inlineStr">
        <is>
          <t>vs Existing Cluster</t>
        </is>
      </c>
      <c r="I29" s="4" t="inlineStr">
        <is>
          <t>MK Recommendation</t>
        </is>
      </c>
    </row>
    <row r="30" ht="32" customHeight="1">
      <c r="A30" s="18" t="inlineStr"/>
      <c r="B30" s="19" t="inlineStr">
        <is>
          <t>Option A — Consolidated new cluster</t>
        </is>
      </c>
      <c r="C30" s="21" t="inlineStr">
        <is>
          <t>YES</t>
        </is>
      </c>
      <c r="D30" s="21" t="inlineStr">
        <is>
          <t>5</t>
        </is>
      </c>
      <c r="E30" s="20" t="inlineStr">
        <is>
          <t>1,500</t>
        </is>
      </c>
      <c r="F30" s="43">
        <f>E30*1.8</f>
        <v/>
      </c>
      <c r="G30" s="43">
        <f>F30*12</f>
        <v/>
      </c>
      <c r="H30" s="21" t="inlineStr">
        <is>
          <t>~$1,980/mo more</t>
        </is>
      </c>
      <c r="I30" s="21" t="inlineStr">
        <is>
          <t>If new cluster mandated — choose this</t>
        </is>
      </c>
    </row>
    <row r="31" ht="32" customHeight="1">
      <c r="A31" s="29" t="inlineStr"/>
      <c r="B31" s="23" t="inlineStr">
        <is>
          <t>Option B — Isolated new cluster</t>
        </is>
      </c>
      <c r="C31" s="31" t="inlineStr">
        <is>
          <t>YES</t>
        </is>
      </c>
      <c r="D31" s="31" t="inlineStr">
        <is>
          <t>9</t>
        </is>
      </c>
      <c r="E31" s="30" t="inlineStr">
        <is>
          <t>2,250</t>
        </is>
      </c>
      <c r="F31" s="44">
        <f>E31*1.8</f>
        <v/>
      </c>
      <c r="G31" s="44">
        <f>F31*12</f>
        <v/>
      </c>
      <c r="H31" s="31" t="inlineStr">
        <is>
          <t>~$3,060/mo more</t>
        </is>
      </c>
      <c r="I31" s="31" t="inlineStr">
        <is>
          <t>Only if strict isolation required</t>
        </is>
      </c>
    </row>
    <row r="32" ht="32" customHeight="1">
      <c r="A32" s="37" t="inlineStr"/>
      <c r="B32" s="38" t="inlineStr">
        <is>
          <t>Option C — Existing cluster, new bucket</t>
        </is>
      </c>
      <c r="C32" s="39" t="inlineStr">
        <is>
          <t>NO</t>
        </is>
      </c>
      <c r="D32" s="39" t="inlineStr">
        <is>
          <t>0</t>
        </is>
      </c>
      <c r="E32" s="40" t="inlineStr">
        <is>
          <t>~300</t>
        </is>
      </c>
      <c r="F32" s="39" t="inlineStr">
        <is>
          <t>~$540</t>
        </is>
      </c>
      <c r="G32" s="39" t="inlineStr">
        <is>
          <t>~$6,480</t>
        </is>
      </c>
      <c r="H32" s="39" t="inlineStr">
        <is>
          <t>BASELINE</t>
        </is>
      </c>
      <c r="I32" s="38" t="inlineStr">
        <is>
          <t>STRONGLY RECOMMENDED — 4GB active data does not justify new cluster</t>
        </is>
      </c>
    </row>
    <row r="34" ht="52" customHeight="1">
      <c r="A34" s="45" t="inlineStr">
        <is>
          <t xml:space="preserve">  MK OPINION:  With only 4GB active dataset and 90K loans, the existing cluster has ample capacity — 5 data nodes designed for 10GB active / 6TB disk. Option C (new bucket, same cluster) saves ~$24,000–36,000/year vs a new cluster. Bucket-level isolation with dedicated scopes/collections provides sufficient separation. Recommend Option A only if Pankaj mandates full infrastructure isolation for compliance reasons.</t>
        </is>
      </c>
    </row>
  </sheetData>
  <mergeCells count="8">
    <mergeCell ref="A19:I19"/>
    <mergeCell ref="A17:G17"/>
    <mergeCell ref="A10:I10"/>
    <mergeCell ref="A8:G8"/>
    <mergeCell ref="A28:I28"/>
    <mergeCell ref="A1:I1"/>
    <mergeCell ref="A3:I3"/>
    <mergeCell ref="A34:I3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2026-04-22T13:51:05Z</dcterms:created>
  <dcterms:modified xmlns:dcterms="http://purl.org/dc/terms/" xmlns:xsi="http://www.w3.org/2001/XMLSchema-instance" xsi:type="dcterms:W3CDTF">2026-04-22T13:51:05Z</dcterms:modified>
</cp:coreProperties>
</file>