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Overview &amp; Methodology" sheetId="1" state="visible" r:id="rId3"/>
    <sheet name="QA Cluster Sizing" sheetId="2" state="visible" r:id="rId4"/>
    <sheet name="Dev Cluster Sizing" sheetId="3" state="visible" r:id="rId5"/>
    <sheet name="Production vs NonProd" sheetId="4" state="visible" r:id="rId6"/>
    <sheet name="Cost Estimate" sheetId="5" state="visible" r:id="rId7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<sst xmlns="http://schemas.openxmlformats.org/spreadsheetml/2006/main" count="406" uniqueCount="221">
  <si>
    <t xml:space="preserve">Couchbase Non-Production Cluster Sizing — Dev &amp; QA</t>
  </si>
  <si>
    <t xml:space="preserve">Multi-Bank Financial Platform | 2 Banks Non-Prod vs 16 Banks Production</t>
  </si>
  <si>
    <t xml:space="preserve">SIZING METHODOLOGY</t>
  </si>
  <si>
    <t xml:space="preserve">#</t>
  </si>
  <si>
    <t xml:space="preserve">Principle</t>
  </si>
  <si>
    <t xml:space="preserve">Reasoning</t>
  </si>
  <si>
    <t xml:space="preserve">1</t>
  </si>
  <si>
    <t xml:space="preserve">Scale Factor</t>
  </si>
  <si>
    <t xml:space="preserve">Non-prod receives data from 2 banks vs 16 banks in production = 12.5% of production load</t>
  </si>
  <si>
    <t xml:space="preserve">2</t>
  </si>
  <si>
    <t xml:space="preserve">Data Volume</t>
  </si>
  <si>
    <t xml:space="preserve">Production processes ~5.5–6 GB/day → Non-prod ~700–750 MB/day per cluster</t>
  </si>
  <si>
    <t xml:space="preserve">3</t>
  </si>
  <si>
    <t xml:space="preserve">Burst Transactions</t>
  </si>
  <si>
    <t xml:space="preserve">Production EOD burst ~310,000 txn → Non-prod ~38,750 txn at 12.5% scale</t>
  </si>
  <si>
    <t xml:space="preserve">4</t>
  </si>
  <si>
    <t xml:space="preserve">Morning Retail</t>
  </si>
  <si>
    <t xml:space="preserve">Production ~10,000 txn/morning → Non-prod ~1,250 txn at 12.5% scale</t>
  </si>
  <si>
    <t xml:space="preserve">5</t>
  </si>
  <si>
    <t xml:space="preserve">Retention Policy</t>
  </si>
  <si>
    <t xml:space="preserve">Production 12 months → QA 90 days / Dev 30 days (significant storage reduction)</t>
  </si>
  <si>
    <t xml:space="preserve">6</t>
  </si>
  <si>
    <t xml:space="preserve">Data Nodes (Min 3)</t>
  </si>
  <si>
    <t xml:space="preserve">Minimum 3 data nodes enforced for both Dev &amp; QA to support Couchbase RF1 auto-failover capability</t>
  </si>
  <si>
    <t xml:space="preserve">7</t>
  </si>
  <si>
    <t xml:space="preserve">HA Philosophy</t>
  </si>
  <si>
    <t xml:space="preserve">QA mirrors production HA patterns for valid integration testing; Dev allows relaxed HA</t>
  </si>
  <si>
    <t xml:space="preserve">8</t>
  </si>
  <si>
    <t xml:space="preserve">IOPS Rationale</t>
  </si>
  <si>
    <t xml:space="preserve">P6 disk (240 IOPS) is sufficient at 12.5% load; truncate-and-load pattern still requires adequate burst IOPS</t>
  </si>
  <si>
    <t xml:space="preserve">9</t>
  </si>
  <si>
    <t xml:space="preserve">Memory Quotas</t>
  </si>
  <si>
    <t xml:space="preserve">Working set at 2-bank scale allows halved memory quotas vs production without eviction pressure</t>
  </si>
  <si>
    <t xml:space="preserve">10</t>
  </si>
  <si>
    <t xml:space="preserve">Cost Objective</t>
  </si>
  <si>
    <t xml:space="preserve">Target 60–70% cost reduction vs replicating production at full scale for non-prod environments</t>
  </si>
  <si>
    <t xml:space="preserve">WORKLOAD SCALING COMPARISON — Production vs Non-Production</t>
  </si>
  <si>
    <t xml:space="preserve">Metric</t>
  </si>
  <si>
    <t xml:space="preserve">Production (16 Banks)</t>
  </si>
  <si>
    <t xml:space="preserve">QA (2 Banks)</t>
  </si>
  <si>
    <t xml:space="preserve">Dev (2 Banks)</t>
  </si>
  <si>
    <t xml:space="preserve">Notes</t>
  </si>
  <si>
    <t xml:space="preserve">Banks Served</t>
  </si>
  <si>
    <t xml:space="preserve">16</t>
  </si>
  <si>
    <t xml:space="preserve">12.5%</t>
  </si>
  <si>
    <t xml:space="preserve">Non-prod carries test bank data only</t>
  </si>
  <si>
    <t xml:space="preserve">Daily Data Volume</t>
  </si>
  <si>
    <t xml:space="preserve">~5.5–6 GB</t>
  </si>
  <si>
    <t xml:space="preserve">~750 MB</t>
  </si>
  <si>
    <t xml:space="preserve">~700 MB</t>
  </si>
  <si>
    <t xml:space="preserve">Reduced volume drives storage &amp; memory savings</t>
  </si>
  <si>
    <t xml:space="preserve">EOD Burst (txn)</t>
  </si>
  <si>
    <t xml:space="preserve">~310,000</t>
  </si>
  <si>
    <t xml:space="preserve">~38,750</t>
  </si>
  <si>
    <t xml:space="preserve">Burst pattern preserved at smaller scale</t>
  </si>
  <si>
    <t xml:space="preserve">Morning Retail (txn)</t>
  </si>
  <si>
    <t xml:space="preserve">~10,000</t>
  </si>
  <si>
    <t xml:space="preserve">~1,250</t>
  </si>
  <si>
    <t xml:space="preserve">Low volume — minimal IOPS pressure</t>
  </si>
  <si>
    <t xml:space="preserve">Retention Period</t>
  </si>
  <si>
    <t xml:space="preserve">12 months</t>
  </si>
  <si>
    <t xml:space="preserve">90 days</t>
  </si>
  <si>
    <t xml:space="preserve">30 days</t>
  </si>
  <si>
    <t xml:space="preserve">N/A</t>
  </si>
  <si>
    <t xml:space="preserve">Shorter retention = significant disk savings</t>
  </si>
  <si>
    <t xml:space="preserve">Data Nodes</t>
  </si>
  <si>
    <t xml:space="preserve">3 (P10/500 IOPS)</t>
  </si>
  <si>
    <t xml:space="preserve">3 (P6/240 IOPS)</t>
  </si>
  <si>
    <t xml:space="preserve">3 (P6/120 IOPS)</t>
  </si>
  <si>
    <t xml:space="preserve">—</t>
  </si>
  <si>
    <t xml:space="preserve">Minimum 3 enforced for auto-failover (RF1)</t>
  </si>
  <si>
    <t xml:space="preserve">Index Nodes</t>
  </si>
  <si>
    <t xml:space="preserve">50%</t>
  </si>
  <si>
    <t xml:space="preserve">Single index node sufficient at 2-bank scale</t>
  </si>
  <si>
    <t xml:space="preserve">Query Nodes</t>
  </si>
  <si>
    <t xml:space="preserve">Single query node handles light non-prod load</t>
  </si>
  <si>
    <t xml:space="preserve">Eventing Nodes</t>
  </si>
  <si>
    <t xml:space="preserve">33–67%</t>
  </si>
  <si>
    <t xml:space="preserve">Dev single node acceptable; QA mirrors light HA</t>
  </si>
  <si>
    <t xml:space="preserve">Auto-Failover</t>
  </si>
  <si>
    <t xml:space="preserve">Full HA</t>
  </si>
  <si>
    <t xml:space="preserve">RF1 enabled</t>
  </si>
  <si>
    <t xml:space="preserve">3 data nodes enables failover on both clusters</t>
  </si>
  <si>
    <t xml:space="preserve">AutoScale</t>
  </si>
  <si>
    <t xml:space="preserve">On</t>
  </si>
  <si>
    <t xml:space="preserve">Off</t>
  </si>
  <si>
    <t xml:space="preserve">Controlled cost — no auto-scale in non-prod</t>
  </si>
  <si>
    <t xml:space="preserve">QA Cluster — Couchbase IaaS Sizing (2 Banks)</t>
  </si>
  <si>
    <t xml:space="preserve">Target: Light HA • Integration &amp; Regression Testing • 90-Day Retention • AutoScale OFF</t>
  </si>
  <si>
    <t xml:space="preserve">Service Group</t>
  </si>
  <si>
    <t xml:space="preserve">Services</t>
  </si>
  <si>
    <t xml:space="preserve">Nodes</t>
  </si>
  <si>
    <t xml:space="preserve">vCPU</t>
  </si>
  <si>
    <t xml:space="preserve">RAM (GB)</t>
  </si>
  <si>
    <t xml:space="preserve">Disk Type</t>
  </si>
  <si>
    <t xml:space="preserve">Disk Size (GB)</t>
  </si>
  <si>
    <t xml:space="preserve">IOPS</t>
  </si>
  <si>
    <t xml:space="preserve">HA / Failover</t>
  </si>
  <si>
    <t xml:space="preserve">Sizing Rationale</t>
  </si>
  <si>
    <t xml:space="preserve">Service Group 1</t>
  </si>
  <si>
    <t xml:space="preserve">Data</t>
  </si>
  <si>
    <t xml:space="preserve">32</t>
  </si>
  <si>
    <t xml:space="preserve">P6</t>
  </si>
  <si>
    <t xml:space="preserve">64</t>
  </si>
  <si>
    <t xml:space="preserve">240</t>
  </si>
  <si>
    <t xml:space="preserve">RF1 Auto-Failover ✓</t>
  </si>
  <si>
    <t xml:space="preserve">3 nodes = Couchbase minimum for auto-failover. 16vCPU/32GB handles 2-bank working set. P6 (240 IOPS) sufficient for ~38K EOD burst vs production P10 (500 IOPS) at 16-bank scale.</t>
  </si>
  <si>
    <t xml:space="preserve">Service Group 2</t>
  </si>
  <si>
    <t xml:space="preserve">Index</t>
  </si>
  <si>
    <t xml:space="preserve">120</t>
  </si>
  <si>
    <t xml:space="preserve">No Failover (single node)</t>
  </si>
  <si>
    <t xml:space="preserve">1 index node sufficient at 2-bank scale. Index memory at 2-bank load does not require dual-node redundancy. Acceptable for QA test workloads.</t>
  </si>
  <si>
    <t xml:space="preserve">Service Group 3</t>
  </si>
  <si>
    <t xml:space="preserve">Query</t>
  </si>
  <si>
    <t xml:space="preserve">Single query node handles QA N1QL workloads at 12.5% of production query volume. 16vCPU matches production ratio for query throughput consistency in test scenarios.</t>
  </si>
  <si>
    <t xml:space="preserve">Service Group 4</t>
  </si>
  <si>
    <t xml:space="preserve">Eventing</t>
  </si>
  <si>
    <t xml:space="preserve">1 spare Eventing node</t>
  </si>
  <si>
    <t xml:space="preserve">2 eventing nodes provides redundancy for function execution testing. QA should validate eventing function behaviour under simulated failover — single node would prevent this.</t>
  </si>
  <si>
    <t xml:space="preserve">TOTALS</t>
  </si>
  <si>
    <t xml:space="preserve">Mixed</t>
  </si>
  <si>
    <t xml:space="preserve">MEMORY QUOTA CONFIGURATION</t>
  </si>
  <si>
    <t xml:space="preserve">Bucket</t>
  </si>
  <si>
    <t xml:space="preserve">Quota (GB)</t>
  </si>
  <si>
    <t xml:space="preserve">Production Quota (GB)</t>
  </si>
  <si>
    <t xml:space="preserve">Reduction</t>
  </si>
  <si>
    <t xml:space="preserve">Rationale</t>
  </si>
  <si>
    <t xml:space="preserve">Landing Bucket</t>
  </si>
  <si>
    <t xml:space="preserve">2-bank working set ~50% of production landing data</t>
  </si>
  <si>
    <t xml:space="preserve">Process Bucket</t>
  </si>
  <si>
    <t xml:space="preserve">Intermediate processing at 2-bank scale requires ~1GB active set</t>
  </si>
  <si>
    <t xml:space="preserve">Semantic Bucket</t>
  </si>
  <si>
    <t xml:space="preserve">Semantic layer at 2-bank scale; 12.5% of 16-bank analytical dataset</t>
  </si>
  <si>
    <t xml:space="preserve">Dev Cluster — Couchbase IaaS Sizing (2 Banks)</t>
  </si>
  <si>
    <t xml:space="preserve">Target: Minimal Resources • Feature Development &amp; Unit Testing • 30-Day Retention • AutoScale OFF</t>
  </si>
  <si>
    <t xml:space="preserve">3 nodes minimum enforced for RF1 auto-failover consistency with QA. Reduced to 8vCPU — development workloads are intermittent, not sustained burst. 32GB RAM covers 2-bank working set with ample headroom for dev testing.</t>
  </si>
  <si>
    <t xml:space="preserve">Single index node appropriate for dev. Developers run targeted queries, not concurrent production-scale index scans. 8vCPU/16GB is sufficient.</t>
  </si>
  <si>
    <t xml:space="preserve">Single query node for dev N1QL access. 8vCPU handles ad-hoc developer queries at very low concurrency. Matches index node sizing for symmetry.</t>
  </si>
  <si>
    <t xml:space="preserve">Single eventing node acceptable in dev. Developers test individual function logic, not concurrent multi-function execution. Failover testing should occur in QA not Dev.</t>
  </si>
  <si>
    <t xml:space="preserve">0.5</t>
  </si>
  <si>
    <t xml:space="preserve">30-day retention + 2-bank scale = very small active working set</t>
  </si>
  <si>
    <t xml:space="preserve">Minimal interim processing data at dev scale</t>
  </si>
  <si>
    <t xml:space="preserve">Reduced semantic layer; dev rarely queries full dataset</t>
  </si>
  <si>
    <t xml:space="preserve">Production vs Non-Production — Side-by-Side Configuration Comparison</t>
  </si>
  <si>
    <t xml:space="preserve">Production
(16 Banks)</t>
  </si>
  <si>
    <t xml:space="preserve">QA
(2 Banks)</t>
  </si>
  <si>
    <t xml:space="preserve">Dev
(2 Banks)</t>
  </si>
  <si>
    <t xml:space="preserve">QA vs Prod
Delta</t>
  </si>
  <si>
    <t xml:space="preserve">Dev vs Prod
Delta</t>
  </si>
  <si>
    <t xml:space="preserve">Node Count</t>
  </si>
  <si>
    <t xml:space="preserve">Same</t>
  </si>
  <si>
    <t xml:space="preserve">Minimum 3 enforced for RF1 auto-failover on all environments</t>
  </si>
  <si>
    <t xml:space="preserve">vCPU per Node</t>
  </si>
  <si>
    <t xml:space="preserve">Scaled down proportionally; dev is intermittent, QA is light sustained</t>
  </si>
  <si>
    <t xml:space="preserve">RAM per Node (GB)</t>
  </si>
  <si>
    <t xml:space="preserve">50% reduction</t>
  </si>
  <si>
    <t xml:space="preserve">2-bank working set fits in 32GB with headroom</t>
  </si>
  <si>
    <t xml:space="preserve">128</t>
  </si>
  <si>
    <t xml:space="preserve">75% reduction</t>
  </si>
  <si>
    <t xml:space="preserve">Shorter retention + fewer banks = dramatically less disk needed</t>
  </si>
  <si>
    <t xml:space="preserve">P10</t>
  </si>
  <si>
    <t xml:space="preserve">Downgrade</t>
  </si>
  <si>
    <t xml:space="preserve">P6 (240 IOPS) sufficient; P10 (500 IOPS) reserved for production burst scale</t>
  </si>
  <si>
    <t xml:space="preserve">500</t>
  </si>
  <si>
    <t xml:space="preserve">52% reduction</t>
  </si>
  <si>
    <t xml:space="preserve">76% reduction</t>
  </si>
  <si>
    <t xml:space="preserve">IOPS scaled to burst transaction volume at 2-bank scale</t>
  </si>
  <si>
    <t xml:space="preserve">Single index node sufficient for non-prod query patterns</t>
  </si>
  <si>
    <t xml:space="preserve">16 (assumed)</t>
  </si>
  <si>
    <t xml:space="preserve">Index build at 2-bank scale manageable on 8vCPU</t>
  </si>
  <si>
    <t xml:space="preserve">Single query node handles non-prod N1QL concurrency</t>
  </si>
  <si>
    <t xml:space="preserve">32 (prod)</t>
  </si>
  <si>
    <t xml:space="preserve">Dev ad-hoc queries need minimal concurrency; QA needs moderate throughput</t>
  </si>
  <si>
    <t xml:space="preserve">33% reduction</t>
  </si>
  <si>
    <t xml:space="preserve">67% reduction</t>
  </si>
  <si>
    <t xml:space="preserve">Dev: single node for function logic testing; QA: 2 for redundancy</t>
  </si>
  <si>
    <t xml:space="preserve">Cluster Total</t>
  </si>
  <si>
    <t xml:space="preserve">Total Nodes</t>
  </si>
  <si>
    <t xml:space="preserve">QA 7 nodes vs Dev 6 nodes vs Production 9 nodes</t>
  </si>
  <si>
    <t xml:space="preserve">Retention</t>
  </si>
  <si>
    <t xml:space="preserve">Policy</t>
  </si>
  <si>
    <t xml:space="preserve">Major reduction</t>
  </si>
  <si>
    <t xml:space="preserve">Retention reduction is the largest single driver of storage cost savings</t>
  </si>
  <si>
    <t xml:space="preserve">Auto-Scale</t>
  </si>
  <si>
    <t xml:space="preserve">Setting</t>
  </si>
  <si>
    <t xml:space="preserve">Disabled</t>
  </si>
  <si>
    <t xml:space="preserve">Non-prod environments must have controlled, predictable costs</t>
  </si>
  <si>
    <t xml:space="preserve">Capability</t>
  </si>
  <si>
    <t xml:space="preserve">RF1 (3 data nodes)</t>
  </si>
  <si>
    <t xml:space="preserve">Maintained</t>
  </si>
  <si>
    <t xml:space="preserve">3 data nodes on both non-prod clusters preserves failover testing capability</t>
  </si>
  <si>
    <t xml:space="preserve">Estimated Cost Reduction — Non-Production vs Production (Relative Index)</t>
  </si>
  <si>
    <t xml:space="preserve">Note: Figures represent relative sizing index (Production = 100). Actual $ costs depend on Azure region, reserved vs on-demand pricing, and negotiated rates.</t>
  </si>
  <si>
    <t xml:space="preserve">Resource Category</t>
  </si>
  <si>
    <t xml:space="preserve">Production Index</t>
  </si>
  <si>
    <t xml:space="preserve">QA Index</t>
  </si>
  <si>
    <t xml:space="preserve">Dev Index</t>
  </si>
  <si>
    <t xml:space="preserve">QA Savings %</t>
  </si>
  <si>
    <t xml:space="preserve">Dev Savings %</t>
  </si>
  <si>
    <t xml:space="preserve">Key Driver</t>
  </si>
  <si>
    <t xml:space="preserve">Data Node Compute</t>
  </si>
  <si>
    <t xml:space="preserve">vCPU count reduction per node</t>
  </si>
  <si>
    <t xml:space="preserve">Data Node Storage</t>
  </si>
  <si>
    <t xml:space="preserve">Disk size halved (QA) / quartered (Dev)</t>
  </si>
  <si>
    <t xml:space="preserve">Index Node Compute</t>
  </si>
  <si>
    <t xml:space="preserve">Half the nodes at half vCPU</t>
  </si>
  <si>
    <t xml:space="preserve">Query Node Compute</t>
  </si>
  <si>
    <t xml:space="preserve">Half nodes; QA 16vCPU, Dev 8vCPU</t>
  </si>
  <si>
    <t xml:space="preserve">Eventing Compute</t>
  </si>
  <si>
    <t xml:space="preserve">Fewer nodes at lower vCPU</t>
  </si>
  <si>
    <t xml:space="preserve">Storage (Retention)</t>
  </si>
  <si>
    <t xml:space="preserve">Retention 90d (QA) / 30d (Dev) vs 12 months</t>
  </si>
  <si>
    <t xml:space="preserve">ESTIMATED OVERALL SAVINGS</t>
  </si>
  <si>
    <t xml:space="preserve">Average across compute + storage categories</t>
  </si>
  <si>
    <t xml:space="preserve">KEY ASSUMPTIONS</t>
  </si>
  <si>
    <t xml:space="preserve">1. Cost index is proportional to vCPU × node count for compute, and GB × days for storage.</t>
  </si>
  <si>
    <t xml:space="preserve">2. Actual Azure VM pricing varies by SKU (e.g., D-series vs E-series); reserved 1-yr pricing recommended for non-prod.</t>
  </si>
  <si>
    <t xml:space="preserve">3. P6 managed disk ($5.28/month) vs P10 ($19.71/month) represents ~73% disk unit cost reduction independent of capacity.</t>
  </si>
  <si>
    <t xml:space="preserve">4. Retention reduction compounds storage savings — 90-day QA retention = 75% less stored data vs 12-month production.</t>
  </si>
  <si>
    <t xml:space="preserve">5. No AutoScale on non-prod eliminates burst compute cost spikes that production may incur.</t>
  </si>
  <si>
    <t xml:space="preserve">6. Confluent cost for non-prod assumed separately managed with shared cluster or reduced partition counts.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</si>
</sst>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0.0%"/>
  </numFmts>
  <fonts count="15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6"/>
      <color rgb="FFFFFFFF"/>
      <name val="Arial"/>
      <family val="0"/>
      <charset val="1"/>
    </font>
    <font>
      <i val="true"/>
      <sz val="11"/>
      <color rgb="FFFFFFFF"/>
      <name val="Arial"/>
      <family val="0"/>
      <charset val="1"/>
    </font>
    <font>
      <b val="true"/>
      <sz val="12"/>
      <color rgb="FFFFFFFF"/>
      <name val="Arial"/>
      <family val="0"/>
      <charset val="1"/>
    </font>
    <font>
      <b val="true"/>
      <sz val="10"/>
      <color rgb="FFFFFFFF"/>
      <name val="Arial"/>
      <family val="0"/>
      <charset val="1"/>
    </font>
    <font>
      <sz val="10"/>
      <color rgb="FF000000"/>
      <name val="Arial"/>
      <family val="0"/>
      <charset val="1"/>
    </font>
    <font>
      <b val="true"/>
      <sz val="15"/>
      <color rgb="FFFFFFFF"/>
      <name val="Arial"/>
      <family val="0"/>
      <charset val="1"/>
    </font>
    <font>
      <i val="true"/>
      <sz val="10"/>
      <color rgb="FFFFFFFF"/>
      <name val="Arial"/>
      <family val="0"/>
      <charset val="1"/>
    </font>
    <font>
      <b val="true"/>
      <sz val="10"/>
      <color rgb="FF000000"/>
      <name val="Arial"/>
      <family val="0"/>
      <charset val="1"/>
    </font>
    <font>
      <b val="true"/>
      <sz val="11"/>
      <color rgb="FFFFFFFF"/>
      <name val="Arial"/>
      <family val="0"/>
      <charset val="1"/>
    </font>
    <font>
      <b val="true"/>
      <sz val="14"/>
      <color rgb="FFFFFFFF"/>
      <name val="Arial"/>
      <family val="0"/>
      <charset val="1"/>
    </font>
    <font>
      <i val="true"/>
      <sz val="9"/>
      <color rgb="FF595959"/>
      <name val="Arial"/>
      <family val="0"/>
      <charset val="1"/>
    </font>
  </fonts>
  <fills count="12">
    <fill>
      <patternFill patternType="none"/>
    </fill>
    <fill>
      <patternFill patternType="gray125"/>
    </fill>
    <fill>
      <patternFill patternType="solid">
        <fgColor rgb="FF1F3864"/>
        <bgColor rgb="FF333333"/>
      </patternFill>
    </fill>
    <fill>
      <patternFill patternType="solid">
        <fgColor rgb="FF2E5FA3"/>
        <bgColor rgb="FF3366FF"/>
      </patternFill>
    </fill>
    <fill>
      <patternFill patternType="solid">
        <fgColor rgb="FFF2F2F2"/>
        <bgColor rgb="FFE2EFDA"/>
      </patternFill>
    </fill>
    <fill>
      <patternFill patternType="solid">
        <fgColor rgb="FFFFFFFF"/>
        <bgColor rgb="FFF2F2F2"/>
      </patternFill>
    </fill>
    <fill>
      <patternFill patternType="solid">
        <fgColor rgb="FFD6E4F0"/>
        <bgColor rgb="FFD9D9D9"/>
      </patternFill>
    </fill>
    <fill>
      <patternFill patternType="solid">
        <fgColor rgb="FFE2EFDA"/>
        <bgColor rgb="FFF2F2F2"/>
      </patternFill>
    </fill>
    <fill>
      <patternFill patternType="solid">
        <fgColor rgb="FFEAD1DC"/>
        <bgColor rgb="FFD9D9D9"/>
      </patternFill>
    </fill>
    <fill>
      <patternFill patternType="solid">
        <fgColor rgb="FFFFF2CC"/>
        <bgColor rgb="FFFCE4D6"/>
      </patternFill>
    </fill>
    <fill>
      <patternFill patternType="solid">
        <fgColor rgb="FFD9D9D9"/>
        <bgColor rgb="FFEAD1DC"/>
      </patternFill>
    </fill>
    <fill>
      <patternFill patternType="solid">
        <fgColor rgb="FFFCE4D6"/>
        <bgColor rgb="FFFFF2CC"/>
      </patternFill>
    </fill>
  </fills>
  <borders count="3">
    <border diagonalUp="false" diagonalDown="false">
      <left/>
      <right/>
      <top/>
      <bottom/>
      <diagonal/>
    </border>
    <border diagonalUp="false" diagonalDown="false"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  <border diagonalUp="false" diagonalDown="false">
      <left style="thin">
        <color rgb="FFBFBFBF"/>
      </left>
      <right/>
      <top style="thin">
        <color rgb="FFBFBFBF"/>
      </top>
      <bottom style="thin">
        <color rgb="FFBFBFBF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46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5" fillId="3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6" fillId="3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8" fillId="4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8" fillId="4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8" fillId="5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8" fillId="5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9" fillId="2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0" fillId="3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1" fillId="6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8" fillId="6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8" fillId="6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1" fillId="7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8" fillId="7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8" fillId="7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1" fillId="8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8" fillId="8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8" fillId="8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1" fillId="9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8" fillId="9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8" fillId="9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7" fillId="3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2" fillId="3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0" fillId="0" borderId="0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8" fillId="5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5" fontId="8" fillId="4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3" fillId="2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1" fillId="6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1" fillId="7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1" fillId="8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1" fillId="9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1" fillId="10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8" fillId="10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8" fillId="1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1" fillId="11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8" fillId="11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8" fillId="11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1" fillId="4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4" fillId="4" borderId="0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2" fillId="3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5" fontId="12" fillId="3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2" fillId="3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8" fillId="4" borderId="2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8" fillId="5" borderId="2" xfId="0" applyFont="true" applyBorder="true" applyAlignment="true" applyProtection="false">
      <alignment horizontal="left" vertical="center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808080"/>
      <rgbColor rgb="FF9999FF"/>
      <rgbColor rgb="FF993366"/>
      <rgbColor rgb="FFFFF2CC"/>
      <rgbColor rgb="FFD6E4F0"/>
      <rgbColor rgb="FF660066"/>
      <rgbColor rgb="FFFF8080"/>
      <rgbColor rgb="FF2E5FA3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F2F2F2"/>
      <rgbColor rgb="FFE2EFDA"/>
      <rgbColor rgb="FFFCE4D6"/>
      <rgbColor rgb="FF99CCFF"/>
      <rgbColor rgb="FFFF99CC"/>
      <rgbColor rgb="FFCC99FF"/>
      <rgbColor rgb="FFEAD1DC"/>
      <rgbColor rgb="FF3366FF"/>
      <rgbColor rgb="FF33CCCC"/>
      <rgbColor rgb="FF99CC00"/>
      <rgbColor rgb="FFFFCC00"/>
      <rgbColor rgb="FFFF9900"/>
      <rgbColor rgb="FFFF6600"/>
      <rgbColor rgb="FF595959"/>
      <rgbColor rgb="FF969696"/>
      <rgbColor rgb="FF1F3864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J29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2" min="1" style="0" width="24"/>
    <col collapsed="false" customWidth="true" hidden="false" outlineLevel="0" max="4" min="3" style="0" width="22"/>
    <col collapsed="false" customWidth="true" hidden="false" outlineLevel="0" max="5" min="5" style="0" width="14"/>
    <col collapsed="false" customWidth="true" hidden="false" outlineLevel="0" max="6" min="6" style="0" width="45"/>
    <col collapsed="false" customWidth="true" hidden="false" outlineLevel="0" max="10" min="7" style="0" width="5"/>
  </cols>
  <sheetData>
    <row r="1" customFormat="false" ht="49.5" hidden="false" customHeight="true" outlineLevel="0" collapsed="false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</row>
    <row r="2" customFormat="false" ht="15" hidden="false" customHeight="true" outlineLevel="0" collapsed="false">
      <c r="A2" s="2" t="s">
        <v>1</v>
      </c>
      <c r="B2" s="2"/>
      <c r="C2" s="2"/>
      <c r="D2" s="2"/>
      <c r="E2" s="2"/>
      <c r="F2" s="2"/>
      <c r="G2" s="2"/>
      <c r="H2" s="2"/>
      <c r="I2" s="2"/>
      <c r="J2" s="2"/>
    </row>
    <row r="4" customFormat="false" ht="15" hidden="false" customHeight="true" outlineLevel="0" collapsed="false">
      <c r="A4" s="3" t="s">
        <v>2</v>
      </c>
      <c r="B4" s="3"/>
      <c r="C4" s="3"/>
      <c r="D4" s="3"/>
      <c r="E4" s="3"/>
      <c r="F4" s="3"/>
      <c r="G4" s="3"/>
      <c r="H4" s="3"/>
      <c r="I4" s="3"/>
      <c r="J4" s="3"/>
    </row>
    <row r="5" customFormat="false" ht="15" hidden="false" customHeight="true" outlineLevel="0" collapsed="false">
      <c r="A5" s="4" t="s">
        <v>3</v>
      </c>
      <c r="B5" s="4" t="s">
        <v>4</v>
      </c>
      <c r="C5" s="4" t="s">
        <v>5</v>
      </c>
      <c r="D5" s="4"/>
      <c r="E5" s="4"/>
      <c r="F5" s="4"/>
      <c r="G5" s="4"/>
      <c r="H5" s="4"/>
      <c r="I5" s="4"/>
      <c r="J5" s="4"/>
    </row>
    <row r="6" customFormat="false" ht="15" hidden="false" customHeight="true" outlineLevel="0" collapsed="false">
      <c r="A6" s="5" t="s">
        <v>6</v>
      </c>
      <c r="B6" s="5" t="s">
        <v>7</v>
      </c>
      <c r="C6" s="6" t="s">
        <v>8</v>
      </c>
      <c r="D6" s="6"/>
      <c r="E6" s="6"/>
      <c r="F6" s="6"/>
      <c r="G6" s="6"/>
      <c r="H6" s="6"/>
      <c r="I6" s="6"/>
      <c r="J6" s="6"/>
    </row>
    <row r="7" customFormat="false" ht="15" hidden="false" customHeight="true" outlineLevel="0" collapsed="false">
      <c r="A7" s="7" t="s">
        <v>9</v>
      </c>
      <c r="B7" s="7" t="s">
        <v>10</v>
      </c>
      <c r="C7" s="8" t="s">
        <v>11</v>
      </c>
      <c r="D7" s="8"/>
      <c r="E7" s="8"/>
      <c r="F7" s="8"/>
      <c r="G7" s="8"/>
      <c r="H7" s="8"/>
      <c r="I7" s="8"/>
      <c r="J7" s="8"/>
    </row>
    <row r="8" customFormat="false" ht="15" hidden="false" customHeight="true" outlineLevel="0" collapsed="false">
      <c r="A8" s="5" t="s">
        <v>12</v>
      </c>
      <c r="B8" s="5" t="s">
        <v>13</v>
      </c>
      <c r="C8" s="6" t="s">
        <v>14</v>
      </c>
      <c r="D8" s="6"/>
      <c r="E8" s="6"/>
      <c r="F8" s="6"/>
      <c r="G8" s="6"/>
      <c r="H8" s="6"/>
      <c r="I8" s="6"/>
      <c r="J8" s="6"/>
    </row>
    <row r="9" customFormat="false" ht="15" hidden="false" customHeight="true" outlineLevel="0" collapsed="false">
      <c r="A9" s="7" t="s">
        <v>15</v>
      </c>
      <c r="B9" s="7" t="s">
        <v>16</v>
      </c>
      <c r="C9" s="8" t="s">
        <v>17</v>
      </c>
      <c r="D9" s="8"/>
      <c r="E9" s="8"/>
      <c r="F9" s="8"/>
      <c r="G9" s="8"/>
      <c r="H9" s="8"/>
      <c r="I9" s="8"/>
      <c r="J9" s="8"/>
    </row>
    <row r="10" customFormat="false" ht="15" hidden="false" customHeight="true" outlineLevel="0" collapsed="false">
      <c r="A10" s="5" t="s">
        <v>18</v>
      </c>
      <c r="B10" s="5" t="s">
        <v>19</v>
      </c>
      <c r="C10" s="6" t="s">
        <v>20</v>
      </c>
      <c r="D10" s="6"/>
      <c r="E10" s="6"/>
      <c r="F10" s="6"/>
      <c r="G10" s="6"/>
      <c r="H10" s="6"/>
      <c r="I10" s="6"/>
      <c r="J10" s="6"/>
    </row>
    <row r="11" customFormat="false" ht="15" hidden="false" customHeight="true" outlineLevel="0" collapsed="false">
      <c r="A11" s="7" t="s">
        <v>21</v>
      </c>
      <c r="B11" s="7" t="s">
        <v>22</v>
      </c>
      <c r="C11" s="8" t="s">
        <v>23</v>
      </c>
      <c r="D11" s="8"/>
      <c r="E11" s="8"/>
      <c r="F11" s="8"/>
      <c r="G11" s="8"/>
      <c r="H11" s="8"/>
      <c r="I11" s="8"/>
      <c r="J11" s="8"/>
    </row>
    <row r="12" customFormat="false" ht="15" hidden="false" customHeight="true" outlineLevel="0" collapsed="false">
      <c r="A12" s="5" t="s">
        <v>24</v>
      </c>
      <c r="B12" s="5" t="s">
        <v>25</v>
      </c>
      <c r="C12" s="6" t="s">
        <v>26</v>
      </c>
      <c r="D12" s="6"/>
      <c r="E12" s="6"/>
      <c r="F12" s="6"/>
      <c r="G12" s="6"/>
      <c r="H12" s="6"/>
      <c r="I12" s="6"/>
      <c r="J12" s="6"/>
    </row>
    <row r="13" customFormat="false" ht="15" hidden="false" customHeight="true" outlineLevel="0" collapsed="false">
      <c r="A13" s="7" t="s">
        <v>27</v>
      </c>
      <c r="B13" s="7" t="s">
        <v>28</v>
      </c>
      <c r="C13" s="8" t="s">
        <v>29</v>
      </c>
      <c r="D13" s="8"/>
      <c r="E13" s="8"/>
      <c r="F13" s="8"/>
      <c r="G13" s="8"/>
      <c r="H13" s="8"/>
      <c r="I13" s="8"/>
      <c r="J13" s="8"/>
    </row>
    <row r="14" customFormat="false" ht="15" hidden="false" customHeight="true" outlineLevel="0" collapsed="false">
      <c r="A14" s="5" t="s">
        <v>30</v>
      </c>
      <c r="B14" s="5" t="s">
        <v>31</v>
      </c>
      <c r="C14" s="6" t="s">
        <v>32</v>
      </c>
      <c r="D14" s="6"/>
      <c r="E14" s="6"/>
      <c r="F14" s="6"/>
      <c r="G14" s="6"/>
      <c r="H14" s="6"/>
      <c r="I14" s="6"/>
      <c r="J14" s="6"/>
    </row>
    <row r="15" customFormat="false" ht="15" hidden="false" customHeight="true" outlineLevel="0" collapsed="false">
      <c r="A15" s="7" t="s">
        <v>33</v>
      </c>
      <c r="B15" s="7" t="s">
        <v>34</v>
      </c>
      <c r="C15" s="8" t="s">
        <v>35</v>
      </c>
      <c r="D15" s="8"/>
      <c r="E15" s="8"/>
      <c r="F15" s="8"/>
      <c r="G15" s="8"/>
      <c r="H15" s="8"/>
      <c r="I15" s="8"/>
      <c r="J15" s="8"/>
    </row>
    <row r="17" customFormat="false" ht="15" hidden="false" customHeight="true" outlineLevel="0" collapsed="false">
      <c r="A17" s="3" t="s">
        <v>36</v>
      </c>
      <c r="B17" s="3"/>
      <c r="C17" s="3"/>
      <c r="D17" s="3"/>
      <c r="E17" s="3"/>
      <c r="F17" s="3"/>
      <c r="G17" s="3"/>
      <c r="H17" s="3"/>
      <c r="I17" s="3"/>
      <c r="J17" s="3"/>
    </row>
    <row r="18" customFormat="false" ht="15" hidden="false" customHeight="false" outlineLevel="0" collapsed="false">
      <c r="A18" s="4" t="s">
        <v>37</v>
      </c>
      <c r="B18" s="4" t="s">
        <v>38</v>
      </c>
      <c r="C18" s="4" t="s">
        <v>39</v>
      </c>
      <c r="D18" s="4" t="s">
        <v>40</v>
      </c>
      <c r="E18" s="4" t="s">
        <v>7</v>
      </c>
      <c r="F18" s="4" t="s">
        <v>41</v>
      </c>
    </row>
    <row r="19" customFormat="false" ht="15" hidden="false" customHeight="false" outlineLevel="0" collapsed="false">
      <c r="A19" s="7" t="s">
        <v>42</v>
      </c>
      <c r="B19" s="7" t="s">
        <v>43</v>
      </c>
      <c r="C19" s="7" t="s">
        <v>9</v>
      </c>
      <c r="D19" s="7" t="s">
        <v>9</v>
      </c>
      <c r="E19" s="7" t="s">
        <v>44</v>
      </c>
      <c r="F19" s="8" t="s">
        <v>45</v>
      </c>
    </row>
    <row r="20" customFormat="false" ht="15" hidden="false" customHeight="false" outlineLevel="0" collapsed="false">
      <c r="A20" s="5" t="s">
        <v>46</v>
      </c>
      <c r="B20" s="5" t="s">
        <v>47</v>
      </c>
      <c r="C20" s="5" t="s">
        <v>48</v>
      </c>
      <c r="D20" s="5" t="s">
        <v>49</v>
      </c>
      <c r="E20" s="5" t="s">
        <v>44</v>
      </c>
      <c r="F20" s="6" t="s">
        <v>50</v>
      </c>
    </row>
    <row r="21" customFormat="false" ht="15" hidden="false" customHeight="false" outlineLevel="0" collapsed="false">
      <c r="A21" s="7" t="s">
        <v>51</v>
      </c>
      <c r="B21" s="7" t="s">
        <v>52</v>
      </c>
      <c r="C21" s="7" t="s">
        <v>53</v>
      </c>
      <c r="D21" s="7" t="s">
        <v>53</v>
      </c>
      <c r="E21" s="7" t="s">
        <v>44</v>
      </c>
      <c r="F21" s="8" t="s">
        <v>54</v>
      </c>
    </row>
    <row r="22" customFormat="false" ht="15" hidden="false" customHeight="false" outlineLevel="0" collapsed="false">
      <c r="A22" s="5" t="s">
        <v>55</v>
      </c>
      <c r="B22" s="5" t="s">
        <v>56</v>
      </c>
      <c r="C22" s="5" t="s">
        <v>57</v>
      </c>
      <c r="D22" s="5" t="s">
        <v>57</v>
      </c>
      <c r="E22" s="5" t="s">
        <v>44</v>
      </c>
      <c r="F22" s="6" t="s">
        <v>58</v>
      </c>
    </row>
    <row r="23" customFormat="false" ht="15" hidden="false" customHeight="false" outlineLevel="0" collapsed="false">
      <c r="A23" s="7" t="s">
        <v>59</v>
      </c>
      <c r="B23" s="7" t="s">
        <v>60</v>
      </c>
      <c r="C23" s="7" t="s">
        <v>61</v>
      </c>
      <c r="D23" s="7" t="s">
        <v>62</v>
      </c>
      <c r="E23" s="7" t="s">
        <v>63</v>
      </c>
      <c r="F23" s="8" t="s">
        <v>64</v>
      </c>
    </row>
    <row r="24" customFormat="false" ht="15" hidden="false" customHeight="false" outlineLevel="0" collapsed="false">
      <c r="A24" s="5" t="s">
        <v>65</v>
      </c>
      <c r="B24" s="5" t="s">
        <v>66</v>
      </c>
      <c r="C24" s="5" t="s">
        <v>67</v>
      </c>
      <c r="D24" s="5" t="s">
        <v>68</v>
      </c>
      <c r="E24" s="5" t="s">
        <v>69</v>
      </c>
      <c r="F24" s="6" t="s">
        <v>70</v>
      </c>
    </row>
    <row r="25" customFormat="false" ht="15" hidden="false" customHeight="false" outlineLevel="0" collapsed="false">
      <c r="A25" s="7" t="s">
        <v>71</v>
      </c>
      <c r="B25" s="7" t="s">
        <v>9</v>
      </c>
      <c r="C25" s="7" t="s">
        <v>6</v>
      </c>
      <c r="D25" s="7" t="s">
        <v>6</v>
      </c>
      <c r="E25" s="7" t="s">
        <v>72</v>
      </c>
      <c r="F25" s="8" t="s">
        <v>73</v>
      </c>
    </row>
    <row r="26" customFormat="false" ht="15" hidden="false" customHeight="false" outlineLevel="0" collapsed="false">
      <c r="A26" s="5" t="s">
        <v>74</v>
      </c>
      <c r="B26" s="5" t="s">
        <v>9</v>
      </c>
      <c r="C26" s="5" t="s">
        <v>6</v>
      </c>
      <c r="D26" s="5" t="s">
        <v>6</v>
      </c>
      <c r="E26" s="5" t="s">
        <v>72</v>
      </c>
      <c r="F26" s="6" t="s">
        <v>75</v>
      </c>
    </row>
    <row r="27" customFormat="false" ht="15" hidden="false" customHeight="false" outlineLevel="0" collapsed="false">
      <c r="A27" s="7" t="s">
        <v>76</v>
      </c>
      <c r="B27" s="7" t="s">
        <v>12</v>
      </c>
      <c r="C27" s="7" t="s">
        <v>9</v>
      </c>
      <c r="D27" s="7" t="s">
        <v>6</v>
      </c>
      <c r="E27" s="7" t="s">
        <v>77</v>
      </c>
      <c r="F27" s="8" t="s">
        <v>78</v>
      </c>
    </row>
    <row r="28" customFormat="false" ht="15" hidden="false" customHeight="false" outlineLevel="0" collapsed="false">
      <c r="A28" s="5" t="s">
        <v>79</v>
      </c>
      <c r="B28" s="5" t="s">
        <v>80</v>
      </c>
      <c r="C28" s="5" t="s">
        <v>81</v>
      </c>
      <c r="D28" s="5" t="s">
        <v>81</v>
      </c>
      <c r="E28" s="5" t="s">
        <v>69</v>
      </c>
      <c r="F28" s="6" t="s">
        <v>82</v>
      </c>
    </row>
    <row r="29" customFormat="false" ht="15" hidden="false" customHeight="false" outlineLevel="0" collapsed="false">
      <c r="A29" s="7" t="s">
        <v>83</v>
      </c>
      <c r="B29" s="7" t="s">
        <v>84</v>
      </c>
      <c r="C29" s="7" t="s">
        <v>85</v>
      </c>
      <c r="D29" s="7" t="s">
        <v>85</v>
      </c>
      <c r="E29" s="7" t="s">
        <v>69</v>
      </c>
      <c r="F29" s="8" t="s">
        <v>86</v>
      </c>
    </row>
  </sheetData>
  <mergeCells count="15">
    <mergeCell ref="A1:J1"/>
    <mergeCell ref="A2:J2"/>
    <mergeCell ref="A4:J4"/>
    <mergeCell ref="C5:J5"/>
    <mergeCell ref="C6:J6"/>
    <mergeCell ref="C7:J7"/>
    <mergeCell ref="C8:J8"/>
    <mergeCell ref="C9:J9"/>
    <mergeCell ref="C10:J10"/>
    <mergeCell ref="C11:J11"/>
    <mergeCell ref="C12:J12"/>
    <mergeCell ref="C13:J13"/>
    <mergeCell ref="C14:J14"/>
    <mergeCell ref="C15:J15"/>
    <mergeCell ref="A17:J17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K15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2"/>
    <col collapsed="false" customWidth="true" hidden="false" outlineLevel="0" max="5" min="2" style="0" width="12"/>
    <col collapsed="false" customWidth="true" hidden="false" outlineLevel="0" max="6" min="6" style="0" width="10"/>
    <col collapsed="false" customWidth="true" hidden="false" outlineLevel="0" max="7" min="7" style="0" width="16"/>
    <col collapsed="false" customWidth="true" hidden="false" outlineLevel="0" max="8" min="8" style="0" width="10"/>
    <col collapsed="false" customWidth="true" hidden="false" outlineLevel="0" max="9" min="9" style="0" width="22"/>
    <col collapsed="false" customWidth="true" hidden="false" outlineLevel="0" max="10" min="10" style="0" width="5"/>
    <col collapsed="false" customWidth="true" hidden="false" outlineLevel="0" max="11" min="11" style="0" width="42"/>
  </cols>
  <sheetData>
    <row r="1" customFormat="false" ht="45" hidden="false" customHeight="true" outlineLevel="0" collapsed="false">
      <c r="A1" s="9" t="s">
        <v>87</v>
      </c>
      <c r="B1" s="9"/>
      <c r="C1" s="9"/>
      <c r="D1" s="9"/>
      <c r="E1" s="9"/>
      <c r="F1" s="9"/>
      <c r="G1" s="9"/>
      <c r="H1" s="9"/>
      <c r="I1" s="9"/>
      <c r="J1" s="9"/>
      <c r="K1" s="9"/>
    </row>
    <row r="2" customFormat="false" ht="15" hidden="false" customHeight="true" outlineLevel="0" collapsed="false">
      <c r="A2" s="10" t="s">
        <v>88</v>
      </c>
      <c r="B2" s="10"/>
      <c r="C2" s="10"/>
      <c r="D2" s="10"/>
      <c r="E2" s="10"/>
      <c r="F2" s="10"/>
      <c r="G2" s="10"/>
      <c r="H2" s="10"/>
      <c r="I2" s="10"/>
      <c r="J2" s="10"/>
      <c r="K2" s="10"/>
    </row>
    <row r="4" customFormat="false" ht="30" hidden="false" customHeight="true" outlineLevel="0" collapsed="false">
      <c r="A4" s="4" t="s">
        <v>89</v>
      </c>
      <c r="B4" s="4" t="s">
        <v>90</v>
      </c>
      <c r="C4" s="4" t="s">
        <v>91</v>
      </c>
      <c r="D4" s="4" t="s">
        <v>92</v>
      </c>
      <c r="E4" s="4" t="s">
        <v>93</v>
      </c>
      <c r="F4" s="4" t="s">
        <v>94</v>
      </c>
      <c r="G4" s="4" t="s">
        <v>95</v>
      </c>
      <c r="H4" s="4" t="s">
        <v>96</v>
      </c>
      <c r="I4" s="4" t="s">
        <v>97</v>
      </c>
      <c r="J4" s="4" t="s">
        <v>98</v>
      </c>
    </row>
    <row r="5" customFormat="false" ht="54.75" hidden="false" customHeight="true" outlineLevel="0" collapsed="false">
      <c r="A5" s="11" t="s">
        <v>99</v>
      </c>
      <c r="B5" s="11" t="s">
        <v>100</v>
      </c>
      <c r="C5" s="12" t="s">
        <v>12</v>
      </c>
      <c r="D5" s="12" t="s">
        <v>43</v>
      </c>
      <c r="E5" s="12" t="s">
        <v>101</v>
      </c>
      <c r="F5" s="12" t="s">
        <v>102</v>
      </c>
      <c r="G5" s="12" t="s">
        <v>103</v>
      </c>
      <c r="H5" s="12" t="s">
        <v>104</v>
      </c>
      <c r="I5" s="12" t="s">
        <v>105</v>
      </c>
      <c r="J5" s="13" t="s">
        <v>106</v>
      </c>
    </row>
    <row r="6" customFormat="false" ht="54.75" hidden="false" customHeight="true" outlineLevel="0" collapsed="false">
      <c r="A6" s="14" t="s">
        <v>107</v>
      </c>
      <c r="B6" s="14" t="s">
        <v>108</v>
      </c>
      <c r="C6" s="15" t="s">
        <v>6</v>
      </c>
      <c r="D6" s="15" t="s">
        <v>27</v>
      </c>
      <c r="E6" s="15" t="s">
        <v>43</v>
      </c>
      <c r="F6" s="15" t="s">
        <v>102</v>
      </c>
      <c r="G6" s="15" t="s">
        <v>101</v>
      </c>
      <c r="H6" s="15" t="s">
        <v>109</v>
      </c>
      <c r="I6" s="15" t="s">
        <v>110</v>
      </c>
      <c r="J6" s="16" t="s">
        <v>111</v>
      </c>
    </row>
    <row r="7" customFormat="false" ht="54.75" hidden="false" customHeight="true" outlineLevel="0" collapsed="false">
      <c r="A7" s="17" t="s">
        <v>112</v>
      </c>
      <c r="B7" s="17" t="s">
        <v>113</v>
      </c>
      <c r="C7" s="18" t="s">
        <v>6</v>
      </c>
      <c r="D7" s="18" t="s">
        <v>43</v>
      </c>
      <c r="E7" s="18" t="s">
        <v>101</v>
      </c>
      <c r="F7" s="18" t="s">
        <v>102</v>
      </c>
      <c r="G7" s="18" t="s">
        <v>101</v>
      </c>
      <c r="H7" s="18" t="s">
        <v>109</v>
      </c>
      <c r="I7" s="18" t="s">
        <v>110</v>
      </c>
      <c r="J7" s="19" t="s">
        <v>114</v>
      </c>
    </row>
    <row r="8" customFormat="false" ht="54.75" hidden="false" customHeight="true" outlineLevel="0" collapsed="false">
      <c r="A8" s="20" t="s">
        <v>115</v>
      </c>
      <c r="B8" s="20" t="s">
        <v>116</v>
      </c>
      <c r="C8" s="21" t="s">
        <v>9</v>
      </c>
      <c r="D8" s="21" t="s">
        <v>27</v>
      </c>
      <c r="E8" s="21" t="s">
        <v>43</v>
      </c>
      <c r="F8" s="21" t="s">
        <v>102</v>
      </c>
      <c r="G8" s="21" t="s">
        <v>101</v>
      </c>
      <c r="H8" s="21" t="s">
        <v>109</v>
      </c>
      <c r="I8" s="21" t="s">
        <v>117</v>
      </c>
      <c r="J8" s="22" t="s">
        <v>118</v>
      </c>
    </row>
    <row r="9" customFormat="false" ht="15" hidden="false" customHeight="false" outlineLevel="0" collapsed="false">
      <c r="A9" s="23" t="s">
        <v>119</v>
      </c>
      <c r="B9" s="23"/>
      <c r="C9" s="23" t="n">
        <f aca="false">SUM(C5:C8)</f>
        <v>0</v>
      </c>
      <c r="D9" s="23" t="s">
        <v>120</v>
      </c>
      <c r="E9" s="23" t="s">
        <v>120</v>
      </c>
      <c r="F9" s="23"/>
      <c r="G9" s="23"/>
      <c r="H9" s="23"/>
      <c r="I9" s="23"/>
      <c r="J9" s="23"/>
    </row>
    <row r="11" customFormat="false" ht="15" hidden="false" customHeight="true" outlineLevel="0" collapsed="false">
      <c r="A11" s="24" t="s">
        <v>121</v>
      </c>
      <c r="B11" s="24"/>
      <c r="C11" s="24"/>
      <c r="D11" s="24"/>
      <c r="E11" s="24"/>
      <c r="F11" s="24"/>
      <c r="G11" s="24"/>
      <c r="H11" s="24"/>
      <c r="I11" s="24"/>
      <c r="J11" s="24"/>
      <c r="K11" s="24"/>
    </row>
    <row r="12" customFormat="false" ht="30" hidden="false" customHeight="true" outlineLevel="0" collapsed="false">
      <c r="A12" s="4" t="s">
        <v>122</v>
      </c>
      <c r="B12" s="4" t="s">
        <v>123</v>
      </c>
      <c r="C12" s="4" t="s">
        <v>124</v>
      </c>
      <c r="D12" s="4" t="s">
        <v>125</v>
      </c>
      <c r="E12" s="4" t="s">
        <v>126</v>
      </c>
      <c r="F12" s="25"/>
      <c r="G12" s="25"/>
      <c r="H12" s="25"/>
      <c r="I12" s="25"/>
      <c r="J12" s="25"/>
      <c r="K12" s="25"/>
    </row>
    <row r="13" customFormat="false" ht="57.45" hidden="false" customHeight="false" outlineLevel="0" collapsed="false">
      <c r="A13" s="7" t="s">
        <v>127</v>
      </c>
      <c r="B13" s="7" t="s">
        <v>6</v>
      </c>
      <c r="C13" s="7" t="s">
        <v>9</v>
      </c>
      <c r="D13" s="26" t="n">
        <f aca="false">1-(B13/C13)</f>
        <v>0.5</v>
      </c>
      <c r="E13" s="8" t="s">
        <v>128</v>
      </c>
      <c r="F13" s="25"/>
      <c r="G13" s="25"/>
      <c r="H13" s="25"/>
      <c r="I13" s="25"/>
      <c r="J13" s="25"/>
      <c r="K13" s="25"/>
    </row>
    <row r="14" customFormat="false" ht="68.65" hidden="false" customHeight="false" outlineLevel="0" collapsed="false">
      <c r="A14" s="5" t="s">
        <v>129</v>
      </c>
      <c r="B14" s="5" t="s">
        <v>6</v>
      </c>
      <c r="C14" s="5" t="s">
        <v>9</v>
      </c>
      <c r="D14" s="27" t="n">
        <f aca="false">1-(B14/C14)</f>
        <v>0.5</v>
      </c>
      <c r="E14" s="6" t="s">
        <v>130</v>
      </c>
      <c r="F14" s="25"/>
      <c r="G14" s="25"/>
      <c r="H14" s="25"/>
      <c r="I14" s="25"/>
      <c r="J14" s="25"/>
      <c r="K14" s="25"/>
    </row>
    <row r="15" customFormat="false" ht="79.85" hidden="false" customHeight="false" outlineLevel="0" collapsed="false">
      <c r="A15" s="7" t="s">
        <v>131</v>
      </c>
      <c r="B15" s="7" t="s">
        <v>15</v>
      </c>
      <c r="C15" s="7" t="s">
        <v>27</v>
      </c>
      <c r="D15" s="26" t="n">
        <f aca="false">1-(B15/C15)</f>
        <v>0.5</v>
      </c>
      <c r="E15" s="8" t="s">
        <v>132</v>
      </c>
      <c r="F15" s="25"/>
      <c r="G15" s="25"/>
      <c r="H15" s="25"/>
      <c r="I15" s="25"/>
      <c r="J15" s="25"/>
      <c r="K15" s="25"/>
    </row>
  </sheetData>
  <mergeCells count="7">
    <mergeCell ref="A1:K1"/>
    <mergeCell ref="A2:K2"/>
    <mergeCell ref="A11:K11"/>
    <mergeCell ref="F12:K12"/>
    <mergeCell ref="F13:K13"/>
    <mergeCell ref="F14:K14"/>
    <mergeCell ref="F15:K15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K15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2"/>
    <col collapsed="false" customWidth="true" hidden="false" outlineLevel="0" max="5" min="2" style="0" width="12"/>
    <col collapsed="false" customWidth="true" hidden="false" outlineLevel="0" max="6" min="6" style="0" width="10"/>
    <col collapsed="false" customWidth="true" hidden="false" outlineLevel="0" max="7" min="7" style="0" width="16"/>
    <col collapsed="false" customWidth="true" hidden="false" outlineLevel="0" max="8" min="8" style="0" width="10"/>
    <col collapsed="false" customWidth="true" hidden="false" outlineLevel="0" max="9" min="9" style="0" width="22"/>
    <col collapsed="false" customWidth="true" hidden="false" outlineLevel="0" max="10" min="10" style="0" width="5"/>
    <col collapsed="false" customWidth="true" hidden="false" outlineLevel="0" max="11" min="11" style="0" width="42"/>
  </cols>
  <sheetData>
    <row r="1" customFormat="false" ht="45" hidden="false" customHeight="true" outlineLevel="0" collapsed="false">
      <c r="A1" s="9" t="s">
        <v>133</v>
      </c>
      <c r="B1" s="9"/>
      <c r="C1" s="9"/>
      <c r="D1" s="9"/>
      <c r="E1" s="9"/>
      <c r="F1" s="9"/>
      <c r="G1" s="9"/>
      <c r="H1" s="9"/>
      <c r="I1" s="9"/>
      <c r="J1" s="9"/>
      <c r="K1" s="9"/>
    </row>
    <row r="2" customFormat="false" ht="15" hidden="false" customHeight="true" outlineLevel="0" collapsed="false">
      <c r="A2" s="10" t="s">
        <v>134</v>
      </c>
      <c r="B2" s="10"/>
      <c r="C2" s="10"/>
      <c r="D2" s="10"/>
      <c r="E2" s="10"/>
      <c r="F2" s="10"/>
      <c r="G2" s="10"/>
      <c r="H2" s="10"/>
      <c r="I2" s="10"/>
      <c r="J2" s="10"/>
      <c r="K2" s="10"/>
    </row>
    <row r="4" customFormat="false" ht="57.45" hidden="false" customHeight="false" outlineLevel="0" collapsed="false">
      <c r="A4" s="4" t="s">
        <v>89</v>
      </c>
      <c r="B4" s="4" t="s">
        <v>90</v>
      </c>
      <c r="C4" s="4" t="s">
        <v>91</v>
      </c>
      <c r="D4" s="4" t="s">
        <v>92</v>
      </c>
      <c r="E4" s="4" t="s">
        <v>93</v>
      </c>
      <c r="F4" s="4" t="s">
        <v>94</v>
      </c>
      <c r="G4" s="4" t="s">
        <v>95</v>
      </c>
      <c r="H4" s="4" t="s">
        <v>96</v>
      </c>
      <c r="I4" s="4" t="s">
        <v>97</v>
      </c>
      <c r="J4" s="4" t="s">
        <v>98</v>
      </c>
    </row>
    <row r="5" customFormat="false" ht="54.75" hidden="false" customHeight="true" outlineLevel="0" collapsed="false">
      <c r="A5" s="11" t="s">
        <v>99</v>
      </c>
      <c r="B5" s="11" t="s">
        <v>100</v>
      </c>
      <c r="C5" s="12" t="s">
        <v>12</v>
      </c>
      <c r="D5" s="12" t="s">
        <v>27</v>
      </c>
      <c r="E5" s="12" t="s">
        <v>101</v>
      </c>
      <c r="F5" s="12" t="s">
        <v>102</v>
      </c>
      <c r="G5" s="12" t="s">
        <v>101</v>
      </c>
      <c r="H5" s="12" t="s">
        <v>109</v>
      </c>
      <c r="I5" s="12" t="s">
        <v>105</v>
      </c>
      <c r="J5" s="13" t="s">
        <v>135</v>
      </c>
    </row>
    <row r="6" customFormat="false" ht="54.75" hidden="false" customHeight="true" outlineLevel="0" collapsed="false">
      <c r="A6" s="14" t="s">
        <v>107</v>
      </c>
      <c r="B6" s="14" t="s">
        <v>108</v>
      </c>
      <c r="C6" s="15" t="s">
        <v>6</v>
      </c>
      <c r="D6" s="15" t="s">
        <v>27</v>
      </c>
      <c r="E6" s="15" t="s">
        <v>43</v>
      </c>
      <c r="F6" s="15" t="s">
        <v>102</v>
      </c>
      <c r="G6" s="15" t="s">
        <v>101</v>
      </c>
      <c r="H6" s="15" t="s">
        <v>109</v>
      </c>
      <c r="I6" s="15" t="s">
        <v>110</v>
      </c>
      <c r="J6" s="16" t="s">
        <v>136</v>
      </c>
    </row>
    <row r="7" customFormat="false" ht="54.75" hidden="false" customHeight="true" outlineLevel="0" collapsed="false">
      <c r="A7" s="17" t="s">
        <v>112</v>
      </c>
      <c r="B7" s="17" t="s">
        <v>113</v>
      </c>
      <c r="C7" s="18" t="s">
        <v>6</v>
      </c>
      <c r="D7" s="18" t="s">
        <v>27</v>
      </c>
      <c r="E7" s="18" t="s">
        <v>43</v>
      </c>
      <c r="F7" s="18" t="s">
        <v>102</v>
      </c>
      <c r="G7" s="18" t="s">
        <v>101</v>
      </c>
      <c r="H7" s="18" t="s">
        <v>109</v>
      </c>
      <c r="I7" s="18" t="s">
        <v>110</v>
      </c>
      <c r="J7" s="19" t="s">
        <v>137</v>
      </c>
    </row>
    <row r="8" customFormat="false" ht="54.75" hidden="false" customHeight="true" outlineLevel="0" collapsed="false">
      <c r="A8" s="20" t="s">
        <v>115</v>
      </c>
      <c r="B8" s="20" t="s">
        <v>116</v>
      </c>
      <c r="C8" s="21" t="s">
        <v>6</v>
      </c>
      <c r="D8" s="21" t="s">
        <v>27</v>
      </c>
      <c r="E8" s="21" t="s">
        <v>43</v>
      </c>
      <c r="F8" s="21" t="s">
        <v>102</v>
      </c>
      <c r="G8" s="21" t="s">
        <v>101</v>
      </c>
      <c r="H8" s="21" t="s">
        <v>109</v>
      </c>
      <c r="I8" s="21" t="s">
        <v>110</v>
      </c>
      <c r="J8" s="22" t="s">
        <v>138</v>
      </c>
    </row>
    <row r="9" customFormat="false" ht="15" hidden="false" customHeight="false" outlineLevel="0" collapsed="false">
      <c r="A9" s="23" t="s">
        <v>119</v>
      </c>
      <c r="B9" s="23"/>
      <c r="C9" s="23" t="n">
        <f aca="false">SUM(C5:C8)</f>
        <v>0</v>
      </c>
      <c r="D9" s="23"/>
      <c r="E9" s="23"/>
      <c r="F9" s="23"/>
      <c r="G9" s="23"/>
      <c r="H9" s="23"/>
      <c r="I9" s="23"/>
      <c r="J9" s="23"/>
    </row>
    <row r="11" customFormat="false" ht="15" hidden="false" customHeight="true" outlineLevel="0" collapsed="false">
      <c r="A11" s="24" t="s">
        <v>121</v>
      </c>
      <c r="B11" s="24"/>
      <c r="C11" s="24"/>
      <c r="D11" s="24"/>
      <c r="E11" s="24"/>
      <c r="F11" s="24"/>
      <c r="G11" s="24"/>
      <c r="H11" s="24"/>
      <c r="I11" s="24"/>
      <c r="J11" s="24"/>
      <c r="K11" s="24"/>
    </row>
    <row r="12" customFormat="false" ht="23.85" hidden="false" customHeight="false" outlineLevel="0" collapsed="false">
      <c r="A12" s="4" t="s">
        <v>122</v>
      </c>
      <c r="B12" s="4" t="s">
        <v>123</v>
      </c>
      <c r="C12" s="4" t="s">
        <v>124</v>
      </c>
      <c r="D12" s="4" t="s">
        <v>125</v>
      </c>
      <c r="E12" s="4" t="s">
        <v>126</v>
      </c>
      <c r="F12" s="25"/>
      <c r="G12" s="25"/>
      <c r="H12" s="25"/>
      <c r="I12" s="25"/>
      <c r="J12" s="25"/>
      <c r="K12" s="25"/>
    </row>
    <row r="13" customFormat="false" ht="68.65" hidden="false" customHeight="false" outlineLevel="0" collapsed="false">
      <c r="A13" s="7" t="s">
        <v>127</v>
      </c>
      <c r="B13" s="7" t="s">
        <v>139</v>
      </c>
      <c r="C13" s="7" t="s">
        <v>9</v>
      </c>
      <c r="D13" s="26" t="n">
        <f aca="false">1-(B13/C13)</f>
        <v>0.75</v>
      </c>
      <c r="E13" s="8" t="s">
        <v>140</v>
      </c>
      <c r="F13" s="25"/>
      <c r="G13" s="25"/>
      <c r="H13" s="25"/>
      <c r="I13" s="25"/>
      <c r="J13" s="25"/>
      <c r="K13" s="25"/>
    </row>
    <row r="14" customFormat="false" ht="57.45" hidden="false" customHeight="false" outlineLevel="0" collapsed="false">
      <c r="A14" s="5" t="s">
        <v>129</v>
      </c>
      <c r="B14" s="5" t="s">
        <v>139</v>
      </c>
      <c r="C14" s="5" t="s">
        <v>9</v>
      </c>
      <c r="D14" s="27" t="n">
        <f aca="false">1-(B14/C14)</f>
        <v>0.75</v>
      </c>
      <c r="E14" s="6" t="s">
        <v>141</v>
      </c>
      <c r="F14" s="25"/>
      <c r="G14" s="25"/>
      <c r="H14" s="25"/>
      <c r="I14" s="25"/>
      <c r="J14" s="25"/>
      <c r="K14" s="25"/>
    </row>
    <row r="15" customFormat="false" ht="57.45" hidden="false" customHeight="false" outlineLevel="0" collapsed="false">
      <c r="A15" s="7" t="s">
        <v>131</v>
      </c>
      <c r="B15" s="7" t="s">
        <v>9</v>
      </c>
      <c r="C15" s="7" t="s">
        <v>27</v>
      </c>
      <c r="D15" s="26" t="n">
        <f aca="false">1-(B15/C15)</f>
        <v>0.75</v>
      </c>
      <c r="E15" s="8" t="s">
        <v>142</v>
      </c>
      <c r="F15" s="25"/>
      <c r="G15" s="25"/>
      <c r="H15" s="25"/>
      <c r="I15" s="25"/>
      <c r="J15" s="25"/>
      <c r="K15" s="25"/>
    </row>
  </sheetData>
  <mergeCells count="7">
    <mergeCell ref="A1:K1"/>
    <mergeCell ref="A2:K2"/>
    <mergeCell ref="A11:K11"/>
    <mergeCell ref="F12:K12"/>
    <mergeCell ref="F13:K13"/>
    <mergeCell ref="F14:K14"/>
    <mergeCell ref="F15:K15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L18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8"/>
    <col collapsed="false" customWidth="true" hidden="false" outlineLevel="0" max="2" min="2" style="0" width="22"/>
    <col collapsed="false" customWidth="true" hidden="false" outlineLevel="0" max="3" min="3" style="0" width="20"/>
    <col collapsed="false" customWidth="true" hidden="false" outlineLevel="0" max="4" min="4" style="0" width="18"/>
    <col collapsed="false" customWidth="true" hidden="false" outlineLevel="0" max="5" min="5" style="0" width="16"/>
    <col collapsed="false" customWidth="true" hidden="false" outlineLevel="0" max="7" min="6" style="0" width="18"/>
    <col collapsed="false" customWidth="true" hidden="false" outlineLevel="0" max="8" min="8" style="0" width="42"/>
  </cols>
  <sheetData>
    <row r="1" customFormat="false" ht="45" hidden="false" customHeight="true" outlineLevel="0" collapsed="false">
      <c r="A1" s="28" t="s">
        <v>143</v>
      </c>
      <c r="B1" s="28"/>
      <c r="C1" s="28"/>
      <c r="D1" s="28"/>
      <c r="E1" s="28"/>
      <c r="F1" s="28"/>
      <c r="G1" s="28"/>
      <c r="H1" s="28"/>
      <c r="I1" s="28"/>
      <c r="J1" s="28"/>
      <c r="K1" s="28"/>
      <c r="L1" s="28"/>
    </row>
    <row r="3" customFormat="false" ht="34.5" hidden="false" customHeight="true" outlineLevel="0" collapsed="false">
      <c r="A3" s="4" t="s">
        <v>89</v>
      </c>
      <c r="B3" s="4" t="s">
        <v>37</v>
      </c>
      <c r="C3" s="4" t="s">
        <v>144</v>
      </c>
      <c r="D3" s="4" t="s">
        <v>145</v>
      </c>
      <c r="E3" s="4" t="s">
        <v>146</v>
      </c>
      <c r="F3" s="4" t="s">
        <v>147</v>
      </c>
      <c r="G3" s="4" t="s">
        <v>148</v>
      </c>
      <c r="H3" s="4" t="s">
        <v>5</v>
      </c>
    </row>
    <row r="4" customFormat="false" ht="30" hidden="false" customHeight="true" outlineLevel="0" collapsed="false">
      <c r="A4" s="29" t="s">
        <v>65</v>
      </c>
      <c r="B4" s="13" t="s">
        <v>149</v>
      </c>
      <c r="C4" s="12" t="s">
        <v>12</v>
      </c>
      <c r="D4" s="12" t="s">
        <v>12</v>
      </c>
      <c r="E4" s="12" t="s">
        <v>12</v>
      </c>
      <c r="F4" s="12" t="s">
        <v>150</v>
      </c>
      <c r="G4" s="12" t="s">
        <v>150</v>
      </c>
      <c r="H4" s="13" t="s">
        <v>151</v>
      </c>
    </row>
    <row r="5" customFormat="false" ht="30" hidden="false" customHeight="true" outlineLevel="0" collapsed="false">
      <c r="A5" s="29" t="s">
        <v>65</v>
      </c>
      <c r="B5" s="13" t="s">
        <v>152</v>
      </c>
      <c r="C5" s="12" t="s">
        <v>101</v>
      </c>
      <c r="D5" s="12" t="s">
        <v>43</v>
      </c>
      <c r="E5" s="12" t="s">
        <v>27</v>
      </c>
      <c r="F5" s="12" t="str">
        <f aca="false">C5&amp;" → "&amp;D5</f>
        <v>32 → 16</v>
      </c>
      <c r="G5" s="12" t="str">
        <f aca="false">C5&amp;" → "&amp;E5</f>
        <v>32 → 8</v>
      </c>
      <c r="H5" s="13" t="s">
        <v>153</v>
      </c>
    </row>
    <row r="6" customFormat="false" ht="30" hidden="false" customHeight="true" outlineLevel="0" collapsed="false">
      <c r="A6" s="29" t="s">
        <v>65</v>
      </c>
      <c r="B6" s="13" t="s">
        <v>154</v>
      </c>
      <c r="C6" s="12" t="s">
        <v>103</v>
      </c>
      <c r="D6" s="12" t="s">
        <v>101</v>
      </c>
      <c r="E6" s="12" t="s">
        <v>101</v>
      </c>
      <c r="F6" s="12" t="s">
        <v>155</v>
      </c>
      <c r="G6" s="12" t="s">
        <v>155</v>
      </c>
      <c r="H6" s="13" t="s">
        <v>156</v>
      </c>
    </row>
    <row r="7" customFormat="false" ht="30" hidden="false" customHeight="true" outlineLevel="0" collapsed="false">
      <c r="A7" s="29" t="s">
        <v>65</v>
      </c>
      <c r="B7" s="13" t="s">
        <v>95</v>
      </c>
      <c r="C7" s="12" t="s">
        <v>157</v>
      </c>
      <c r="D7" s="12" t="s">
        <v>103</v>
      </c>
      <c r="E7" s="12" t="s">
        <v>101</v>
      </c>
      <c r="F7" s="12" t="s">
        <v>155</v>
      </c>
      <c r="G7" s="12" t="s">
        <v>158</v>
      </c>
      <c r="H7" s="13" t="s">
        <v>159</v>
      </c>
    </row>
    <row r="8" customFormat="false" ht="30" hidden="false" customHeight="true" outlineLevel="0" collapsed="false">
      <c r="A8" s="29" t="s">
        <v>65</v>
      </c>
      <c r="B8" s="13" t="s">
        <v>94</v>
      </c>
      <c r="C8" s="12" t="s">
        <v>160</v>
      </c>
      <c r="D8" s="12" t="s">
        <v>102</v>
      </c>
      <c r="E8" s="12" t="s">
        <v>102</v>
      </c>
      <c r="F8" s="12" t="s">
        <v>161</v>
      </c>
      <c r="G8" s="12" t="s">
        <v>161</v>
      </c>
      <c r="H8" s="13" t="s">
        <v>162</v>
      </c>
    </row>
    <row r="9" customFormat="false" ht="30" hidden="false" customHeight="true" outlineLevel="0" collapsed="false">
      <c r="A9" s="29" t="s">
        <v>65</v>
      </c>
      <c r="B9" s="13" t="s">
        <v>96</v>
      </c>
      <c r="C9" s="12" t="s">
        <v>163</v>
      </c>
      <c r="D9" s="12" t="s">
        <v>104</v>
      </c>
      <c r="E9" s="12" t="s">
        <v>109</v>
      </c>
      <c r="F9" s="12" t="s">
        <v>164</v>
      </c>
      <c r="G9" s="12" t="s">
        <v>165</v>
      </c>
      <c r="H9" s="13" t="s">
        <v>166</v>
      </c>
    </row>
    <row r="10" customFormat="false" ht="30" hidden="false" customHeight="true" outlineLevel="0" collapsed="false">
      <c r="A10" s="30" t="s">
        <v>71</v>
      </c>
      <c r="B10" s="16" t="s">
        <v>149</v>
      </c>
      <c r="C10" s="15" t="s">
        <v>9</v>
      </c>
      <c r="D10" s="15" t="s">
        <v>6</v>
      </c>
      <c r="E10" s="15" t="s">
        <v>6</v>
      </c>
      <c r="F10" s="15" t="s">
        <v>155</v>
      </c>
      <c r="G10" s="15" t="s">
        <v>155</v>
      </c>
      <c r="H10" s="16" t="s">
        <v>167</v>
      </c>
    </row>
    <row r="11" customFormat="false" ht="30" hidden="false" customHeight="true" outlineLevel="0" collapsed="false">
      <c r="A11" s="30" t="s">
        <v>71</v>
      </c>
      <c r="B11" s="16" t="s">
        <v>152</v>
      </c>
      <c r="C11" s="15" t="s">
        <v>168</v>
      </c>
      <c r="D11" s="15" t="s">
        <v>27</v>
      </c>
      <c r="E11" s="15" t="s">
        <v>27</v>
      </c>
      <c r="F11" s="15" t="s">
        <v>155</v>
      </c>
      <c r="G11" s="15" t="s">
        <v>155</v>
      </c>
      <c r="H11" s="16" t="s">
        <v>169</v>
      </c>
    </row>
    <row r="12" customFormat="false" ht="30" hidden="false" customHeight="true" outlineLevel="0" collapsed="false">
      <c r="A12" s="31" t="s">
        <v>74</v>
      </c>
      <c r="B12" s="19" t="s">
        <v>149</v>
      </c>
      <c r="C12" s="18" t="s">
        <v>9</v>
      </c>
      <c r="D12" s="18" t="s">
        <v>6</v>
      </c>
      <c r="E12" s="18" t="s">
        <v>6</v>
      </c>
      <c r="F12" s="18" t="s">
        <v>155</v>
      </c>
      <c r="G12" s="18" t="s">
        <v>155</v>
      </c>
      <c r="H12" s="19" t="s">
        <v>170</v>
      </c>
    </row>
    <row r="13" customFormat="false" ht="30" hidden="false" customHeight="true" outlineLevel="0" collapsed="false">
      <c r="A13" s="31" t="s">
        <v>74</v>
      </c>
      <c r="B13" s="19" t="s">
        <v>152</v>
      </c>
      <c r="C13" s="18" t="s">
        <v>171</v>
      </c>
      <c r="D13" s="18" t="s">
        <v>43</v>
      </c>
      <c r="E13" s="18" t="s">
        <v>27</v>
      </c>
      <c r="F13" s="18" t="s">
        <v>155</v>
      </c>
      <c r="G13" s="18" t="s">
        <v>158</v>
      </c>
      <c r="H13" s="19" t="s">
        <v>172</v>
      </c>
    </row>
    <row r="14" customFormat="false" ht="30" hidden="false" customHeight="true" outlineLevel="0" collapsed="false">
      <c r="A14" s="32" t="s">
        <v>76</v>
      </c>
      <c r="B14" s="22" t="s">
        <v>149</v>
      </c>
      <c r="C14" s="21" t="s">
        <v>12</v>
      </c>
      <c r="D14" s="21" t="s">
        <v>9</v>
      </c>
      <c r="E14" s="21" t="s">
        <v>6</v>
      </c>
      <c r="F14" s="21" t="s">
        <v>173</v>
      </c>
      <c r="G14" s="21" t="s">
        <v>174</v>
      </c>
      <c r="H14" s="22" t="s">
        <v>175</v>
      </c>
    </row>
    <row r="15" customFormat="false" ht="30" hidden="false" customHeight="true" outlineLevel="0" collapsed="false">
      <c r="A15" s="33" t="s">
        <v>176</v>
      </c>
      <c r="B15" s="34" t="s">
        <v>177</v>
      </c>
      <c r="C15" s="35" t="s">
        <v>30</v>
      </c>
      <c r="D15" s="35" t="n">
        <f aca="false">3+1+1+2</f>
        <v>7</v>
      </c>
      <c r="E15" s="35" t="n">
        <f aca="false">3+1+1+1</f>
        <v>6</v>
      </c>
      <c r="F15" s="35" t="str">
        <f aca="false">D15-C15&amp;" nodes"</f>
        <v>-2 nodes</v>
      </c>
      <c r="G15" s="35" t="str">
        <f aca="false">E15-C15&amp;" nodes"</f>
        <v>-3 nodes</v>
      </c>
      <c r="H15" s="34" t="s">
        <v>178</v>
      </c>
    </row>
    <row r="16" customFormat="false" ht="30" hidden="false" customHeight="true" outlineLevel="0" collapsed="false">
      <c r="A16" s="36" t="s">
        <v>179</v>
      </c>
      <c r="B16" s="37" t="s">
        <v>180</v>
      </c>
      <c r="C16" s="38" t="s">
        <v>60</v>
      </c>
      <c r="D16" s="38" t="s">
        <v>61</v>
      </c>
      <c r="E16" s="38" t="s">
        <v>62</v>
      </c>
      <c r="F16" s="38" t="s">
        <v>181</v>
      </c>
      <c r="G16" s="38" t="s">
        <v>181</v>
      </c>
      <c r="H16" s="37" t="s">
        <v>182</v>
      </c>
    </row>
    <row r="17" customFormat="false" ht="30" hidden="false" customHeight="true" outlineLevel="0" collapsed="false">
      <c r="A17" s="39" t="s">
        <v>183</v>
      </c>
      <c r="B17" s="6" t="s">
        <v>184</v>
      </c>
      <c r="C17" s="5" t="s">
        <v>84</v>
      </c>
      <c r="D17" s="5" t="s">
        <v>85</v>
      </c>
      <c r="E17" s="5" t="s">
        <v>85</v>
      </c>
      <c r="F17" s="5" t="s">
        <v>185</v>
      </c>
      <c r="G17" s="5" t="s">
        <v>185</v>
      </c>
      <c r="H17" s="6" t="s">
        <v>186</v>
      </c>
    </row>
    <row r="18" customFormat="false" ht="30" hidden="false" customHeight="true" outlineLevel="0" collapsed="false">
      <c r="A18" s="30" t="s">
        <v>79</v>
      </c>
      <c r="B18" s="16" t="s">
        <v>187</v>
      </c>
      <c r="C18" s="15" t="s">
        <v>80</v>
      </c>
      <c r="D18" s="15" t="s">
        <v>188</v>
      </c>
      <c r="E18" s="15" t="s">
        <v>188</v>
      </c>
      <c r="F18" s="15" t="s">
        <v>189</v>
      </c>
      <c r="G18" s="15" t="s">
        <v>189</v>
      </c>
      <c r="H18" s="16" t="s">
        <v>190</v>
      </c>
    </row>
  </sheetData>
  <mergeCells count="1">
    <mergeCell ref="A1:L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19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6"/>
    <col collapsed="false" customWidth="true" hidden="false" outlineLevel="0" max="2" min="2" style="0" width="18"/>
    <col collapsed="false" customWidth="true" hidden="false" outlineLevel="0" max="4" min="3" style="0" width="16"/>
    <col collapsed="false" customWidth="true" hidden="false" outlineLevel="0" max="6" min="5" style="0" width="14"/>
    <col collapsed="false" customWidth="true" hidden="false" outlineLevel="0" max="7" min="7" style="0" width="45"/>
  </cols>
  <sheetData>
    <row r="1" customFormat="false" ht="45" hidden="false" customHeight="true" outlineLevel="0" collapsed="false">
      <c r="A1" s="28" t="s">
        <v>191</v>
      </c>
      <c r="B1" s="28"/>
      <c r="C1" s="28"/>
      <c r="D1" s="28"/>
      <c r="E1" s="28"/>
      <c r="F1" s="28"/>
      <c r="G1" s="28"/>
      <c r="H1" s="28"/>
      <c r="I1" s="28"/>
    </row>
    <row r="2" customFormat="false" ht="15" hidden="false" customHeight="true" outlineLevel="0" collapsed="false">
      <c r="A2" s="40" t="s">
        <v>192</v>
      </c>
      <c r="B2" s="40"/>
      <c r="C2" s="40"/>
      <c r="D2" s="40"/>
      <c r="E2" s="40"/>
      <c r="F2" s="40"/>
      <c r="G2" s="40"/>
      <c r="H2" s="40"/>
      <c r="I2" s="40"/>
    </row>
    <row r="4" customFormat="false" ht="15" hidden="false" customHeight="false" outlineLevel="0" collapsed="false">
      <c r="A4" s="4" t="s">
        <v>193</v>
      </c>
      <c r="B4" s="4" t="s">
        <v>194</v>
      </c>
      <c r="C4" s="4" t="s">
        <v>195</v>
      </c>
      <c r="D4" s="4" t="s">
        <v>196</v>
      </c>
      <c r="E4" s="4" t="s">
        <v>197</v>
      </c>
      <c r="F4" s="4" t="s">
        <v>198</v>
      </c>
      <c r="G4" s="4" t="s">
        <v>199</v>
      </c>
    </row>
    <row r="5" customFormat="false" ht="15" hidden="false" customHeight="false" outlineLevel="0" collapsed="false">
      <c r="A5" s="7" t="s">
        <v>200</v>
      </c>
      <c r="B5" s="7" t="n">
        <v>100</v>
      </c>
      <c r="C5" s="7" t="n">
        <f aca="false">100*(3*16)/(3*32)</f>
        <v>50</v>
      </c>
      <c r="D5" s="7" t="n">
        <f aca="false">100*(3*8)/(3*32)</f>
        <v>25</v>
      </c>
      <c r="E5" s="26" t="n">
        <f aca="false">1-(C5/B5)</f>
        <v>0.5</v>
      </c>
      <c r="F5" s="26" t="n">
        <f aca="false">1-(D5/B5)</f>
        <v>0.75</v>
      </c>
      <c r="G5" s="8" t="s">
        <v>201</v>
      </c>
    </row>
    <row r="6" customFormat="false" ht="15" hidden="false" customHeight="false" outlineLevel="0" collapsed="false">
      <c r="A6" s="5" t="s">
        <v>202</v>
      </c>
      <c r="B6" s="5" t="n">
        <v>100</v>
      </c>
      <c r="C6" s="5" t="n">
        <f aca="false">100*(3*64)/(3*128)</f>
        <v>50</v>
      </c>
      <c r="D6" s="5" t="n">
        <f aca="false">100*(3*32)/(3*128)</f>
        <v>25</v>
      </c>
      <c r="E6" s="27" t="n">
        <f aca="false">1-(C6/B6)</f>
        <v>0.5</v>
      </c>
      <c r="F6" s="27" t="n">
        <f aca="false">1-(D6/B6)</f>
        <v>0.75</v>
      </c>
      <c r="G6" s="6" t="s">
        <v>203</v>
      </c>
    </row>
    <row r="7" customFormat="false" ht="15" hidden="false" customHeight="false" outlineLevel="0" collapsed="false">
      <c r="A7" s="7" t="s">
        <v>204</v>
      </c>
      <c r="B7" s="7" t="n">
        <v>100</v>
      </c>
      <c r="C7" s="7" t="n">
        <f aca="false">100*(1*8)/(2*16)</f>
        <v>25</v>
      </c>
      <c r="D7" s="7" t="n">
        <f aca="false">100*(1*8)/(2*16)</f>
        <v>25</v>
      </c>
      <c r="E7" s="26" t="n">
        <f aca="false">1-(C7/B7)</f>
        <v>0.75</v>
      </c>
      <c r="F7" s="26" t="n">
        <f aca="false">1-(D7/B7)</f>
        <v>0.75</v>
      </c>
      <c r="G7" s="8" t="s">
        <v>205</v>
      </c>
    </row>
    <row r="8" customFormat="false" ht="15" hidden="false" customHeight="false" outlineLevel="0" collapsed="false">
      <c r="A8" s="5" t="s">
        <v>206</v>
      </c>
      <c r="B8" s="5" t="n">
        <v>100</v>
      </c>
      <c r="C8" s="5" t="n">
        <f aca="false">100*(1*16)/(2*32)</f>
        <v>25</v>
      </c>
      <c r="D8" s="5" t="n">
        <f aca="false">100*(1*8)/(2*32)</f>
        <v>12.5</v>
      </c>
      <c r="E8" s="27" t="n">
        <f aca="false">1-(C8/B8)</f>
        <v>0.75</v>
      </c>
      <c r="F8" s="27" t="n">
        <f aca="false">1-(D8/B8)</f>
        <v>0.875</v>
      </c>
      <c r="G8" s="6" t="s">
        <v>207</v>
      </c>
    </row>
    <row r="9" customFormat="false" ht="15" hidden="false" customHeight="false" outlineLevel="0" collapsed="false">
      <c r="A9" s="7" t="s">
        <v>208</v>
      </c>
      <c r="B9" s="7" t="n">
        <v>100</v>
      </c>
      <c r="C9" s="7" t="n">
        <f aca="false">100*(2*8)/(3*16)</f>
        <v>33.3333333333333</v>
      </c>
      <c r="D9" s="7" t="n">
        <f aca="false">100*(1*8)/(3*16)</f>
        <v>16.6666666666667</v>
      </c>
      <c r="E9" s="26" t="n">
        <f aca="false">1-(C9/B9)</f>
        <v>0.666666666666667</v>
      </c>
      <c r="F9" s="26" t="n">
        <f aca="false">1-(D9/B9)</f>
        <v>0.833333333333333</v>
      </c>
      <c r="G9" s="8" t="s">
        <v>209</v>
      </c>
    </row>
    <row r="10" customFormat="false" ht="15" hidden="false" customHeight="false" outlineLevel="0" collapsed="false">
      <c r="A10" s="5" t="s">
        <v>210</v>
      </c>
      <c r="B10" s="5" t="n">
        <v>100</v>
      </c>
      <c r="C10" s="5" t="n">
        <f aca="false">100*(90/365)</f>
        <v>24.6575342465753</v>
      </c>
      <c r="D10" s="5" t="n">
        <f aca="false">100*(30/365)</f>
        <v>8.21917808219178</v>
      </c>
      <c r="E10" s="27" t="n">
        <f aca="false">1-(C10/B10)</f>
        <v>0.753424657534247</v>
      </c>
      <c r="F10" s="27" t="n">
        <f aca="false">1-(D10/B10)</f>
        <v>0.917808219178082</v>
      </c>
      <c r="G10" s="6" t="s">
        <v>211</v>
      </c>
    </row>
    <row r="11" customFormat="false" ht="26.85" hidden="false" customHeight="false" outlineLevel="0" collapsed="false">
      <c r="A11" s="41" t="s">
        <v>212</v>
      </c>
      <c r="B11" s="41"/>
      <c r="C11" s="41"/>
      <c r="D11" s="41"/>
      <c r="E11" s="42" t="n">
        <f aca="false">AVERAGE(E5:E10)</f>
        <v>0.653348554033486</v>
      </c>
      <c r="F11" s="42" t="n">
        <f aca="false">AVERAGE(D5:D10)</f>
        <v>18.7309741248097</v>
      </c>
      <c r="G11" s="43" t="s">
        <v>213</v>
      </c>
    </row>
    <row r="13" customFormat="false" ht="15" hidden="false" customHeight="true" outlineLevel="0" collapsed="false">
      <c r="A13" s="24" t="s">
        <v>214</v>
      </c>
      <c r="B13" s="24"/>
      <c r="C13" s="24"/>
      <c r="D13" s="24"/>
      <c r="E13" s="24"/>
      <c r="F13" s="24"/>
      <c r="G13" s="24"/>
      <c r="H13" s="24"/>
      <c r="I13" s="24"/>
    </row>
    <row r="14" customFormat="false" ht="15" hidden="false" customHeight="true" outlineLevel="0" collapsed="false">
      <c r="A14" s="44" t="s">
        <v>215</v>
      </c>
      <c r="B14" s="44"/>
      <c r="C14" s="44"/>
      <c r="D14" s="44"/>
      <c r="E14" s="44"/>
      <c r="F14" s="44"/>
      <c r="G14" s="44"/>
      <c r="H14" s="44"/>
      <c r="I14" s="44"/>
    </row>
    <row r="15" customFormat="false" ht="15" hidden="false" customHeight="true" outlineLevel="0" collapsed="false">
      <c r="A15" s="45" t="s">
        <v>216</v>
      </c>
      <c r="B15" s="45"/>
      <c r="C15" s="45"/>
      <c r="D15" s="45"/>
      <c r="E15" s="45"/>
      <c r="F15" s="45"/>
      <c r="G15" s="45"/>
      <c r="H15" s="45"/>
      <c r="I15" s="45"/>
    </row>
    <row r="16" customFormat="false" ht="15" hidden="false" customHeight="true" outlineLevel="0" collapsed="false">
      <c r="A16" s="44" t="s">
        <v>217</v>
      </c>
      <c r="B16" s="44"/>
      <c r="C16" s="44"/>
      <c r="D16" s="44"/>
      <c r="E16" s="44"/>
      <c r="F16" s="44"/>
      <c r="G16" s="44"/>
      <c r="H16" s="44"/>
      <c r="I16" s="44"/>
    </row>
    <row r="17" customFormat="false" ht="15" hidden="false" customHeight="true" outlineLevel="0" collapsed="false">
      <c r="A17" s="45" t="s">
        <v>218</v>
      </c>
      <c r="B17" s="45"/>
      <c r="C17" s="45"/>
      <c r="D17" s="45"/>
      <c r="E17" s="45"/>
      <c r="F17" s="45"/>
      <c r="G17" s="45"/>
      <c r="H17" s="45"/>
      <c r="I17" s="45"/>
    </row>
    <row r="18" customFormat="false" ht="15" hidden="false" customHeight="true" outlineLevel="0" collapsed="false">
      <c r="A18" s="44" t="s">
        <v>219</v>
      </c>
      <c r="B18" s="44"/>
      <c r="C18" s="44"/>
      <c r="D18" s="44"/>
      <c r="E18" s="44"/>
      <c r="F18" s="44"/>
      <c r="G18" s="44"/>
      <c r="H18" s="44"/>
      <c r="I18" s="44"/>
    </row>
    <row r="19" customFormat="false" ht="15" hidden="false" customHeight="true" outlineLevel="0" collapsed="false">
      <c r="A19" s="45" t="s">
        <v>220</v>
      </c>
      <c r="B19" s="45"/>
      <c r="C19" s="45"/>
      <c r="D19" s="45"/>
      <c r="E19" s="45"/>
      <c r="F19" s="45"/>
      <c r="G19" s="45"/>
      <c r="H19" s="45"/>
      <c r="I19" s="45"/>
    </row>
  </sheetData>
  <mergeCells count="9">
    <mergeCell ref="A1:I1"/>
    <mergeCell ref="A2:I2"/>
    <mergeCell ref="A13:I13"/>
    <mergeCell ref="A14:I14"/>
    <mergeCell ref="A15:I15"/>
    <mergeCell ref="A16:I16"/>
    <mergeCell ref="A17:I17"/>
    <mergeCell ref="A18:I18"/>
    <mergeCell ref="A19:I19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2026-03-10T14:15:08Z</dcterms:created>
  <dc:creator>openpyxl</dc:creator>
  <dc:description/>
  <dc:language>en-US</dc:language>
  <cp:lastModifiedBy/>
  <dcterms:modified xsi:type="dcterms:W3CDTF">2026-03-10T14:15:08Z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