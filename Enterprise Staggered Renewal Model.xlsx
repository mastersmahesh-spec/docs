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ggered Renewal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<sst xmlns="http://schemas.openxmlformats.org/spreadsheetml/2006/main" count="107" uniqueCount="75">
  <si>
    <t xml:space="preserve">Enterprise Plan - Staggered 24-Month Credit Renewal Plan (Aug 2026 - Jul 2028)</t>
  </si>
  <si>
    <t xml:space="preserve">PRDCCDMAZCEN_001 (Central US) + PRDCCDMAZEST2_001 (East US 2)</t>
  </si>
  <si>
    <t xml:space="preserve">Assumptions</t>
  </si>
  <si>
    <t xml:space="preserve">PRDCCDMAZCEN_001 - full capacity credits/mo (14 nodes: 5 Data/3 Index/3 Query/3 Eventing)</t>
  </si>
  <si>
    <t xml:space="preserve">PRDCCDMAZCEN_001 - downsized credits/mo (13 nodes: 3 Data/3 Index/5 Query/2 Eventing, per Capella)</t>
  </si>
  <si>
    <t xml:space="preserve">PRDCCDMAZEST2_001 - credits/mo (held at full capacity throughout)</t>
  </si>
  <si>
    <t xml:space="preserve">Buffer % applied to final procurement total</t>
  </si>
  <si>
    <t xml:space="preserve">Downsize figure taken directly from the Capella node config screen for the target service group layout (Data 3 / Index 3 / Query 5 / Eventing 2). East US 2 is not being downsized this cycle.</t>
  </si>
  <si>
    <t xml:space="preserve">Phase Plan</t>
  </si>
  <si>
    <t xml:space="preserve">Phase</t>
  </si>
  <si>
    <t xml:space="preserve">Description</t>
  </si>
  <si>
    <t xml:space="preserve">Months</t>
  </si>
  <si>
    <t xml:space="preserve">Duration</t>
  </si>
  <si>
    <t xml:space="preserve">CEN % of Full</t>
  </si>
  <si>
    <t xml:space="preserve">EST2 % of Full</t>
  </si>
  <si>
    <t xml:space="preserve">P1</t>
  </si>
  <si>
    <t xml:space="preserve">Baseline monitoring at current capacity</t>
  </si>
  <si>
    <t xml:space="preserve">Aug-Oct 2026</t>
  </si>
  <si>
    <t xml:space="preserve">3 mo</t>
  </si>
  <si>
    <t xml:space="preserve">P2</t>
  </si>
  <si>
    <t xml:space="preserve">Downsize Central per Capella config; East 2 unchanged</t>
  </si>
  <si>
    <t xml:space="preserve">Nov 2026-Apr 2027</t>
  </si>
  <si>
    <t xml:space="preserve">6 mo</t>
  </si>
  <si>
    <t xml:space="preserve">see below</t>
  </si>
  <si>
    <t xml:space="preserve">P3</t>
  </si>
  <si>
    <t xml:space="preserve">Conditional upscale, need-basis (placeholder avg)</t>
  </si>
  <si>
    <t xml:space="preserve">May-Oct 2027</t>
  </si>
  <si>
    <t xml:space="preserve">P4</t>
  </si>
  <si>
    <t xml:space="preserve">Full capacity - ramp complete, steady state to term end</t>
  </si>
  <si>
    <t xml:space="preserve">Nov 2027-Jul 2028</t>
  </si>
  <si>
    <t xml:space="preserve">9 mo</t>
  </si>
  <si>
    <t xml:space="preserve">PRDCCDMAZCEN_001 credits/mo by phase</t>
  </si>
  <si>
    <t xml:space="preserve">Credits/mo (CEN)</t>
  </si>
  <si>
    <t xml:space="preserve">% of Full</t>
  </si>
  <si>
    <t xml:space="preserve">P3 is a planning placeholder only (downsized level + 10% of full) - true up monthly once actual utilization during P1/P2 is known.</t>
  </si>
  <si>
    <t xml:space="preserve">24-Month Monthly Projection</t>
  </si>
  <si>
    <t xml:space="preserve">#</t>
  </si>
  <si>
    <t xml:space="preserve">Month</t>
  </si>
  <si>
    <t xml:space="preserve">PRDCCDMAZCEN_001</t>
  </si>
  <si>
    <t xml:space="preserve">PRDCCDMAZEST2_001</t>
  </si>
  <si>
    <t xml:space="preserve">Total Credits/mo</t>
  </si>
  <si>
    <t xml:space="preserve">Cumulative Credits</t>
  </si>
  <si>
    <t xml:space="preserve">Aug-2026</t>
  </si>
  <si>
    <t xml:space="preserve">Sep-2026</t>
  </si>
  <si>
    <t xml:space="preserve">Oct-2026</t>
  </si>
  <si>
    <t xml:space="preserve">Nov-2026</t>
  </si>
  <si>
    <t xml:space="preserve">Dec-2026</t>
  </si>
  <si>
    <t xml:space="preserve">Jan-2027</t>
  </si>
  <si>
    <t xml:space="preserve">Feb-2027</t>
  </si>
  <si>
    <t xml:space="preserve">Mar-2027</t>
  </si>
  <si>
    <t xml:space="preserve">Apr-2027</t>
  </si>
  <si>
    <t xml:space="preserve">May-2027</t>
  </si>
  <si>
    <t xml:space="preserve">Jun-2027</t>
  </si>
  <si>
    <t xml:space="preserve">Jul-2027</t>
  </si>
  <si>
    <t xml:space="preserve">Aug-2027</t>
  </si>
  <si>
    <t xml:space="preserve">Sep-2027</t>
  </si>
  <si>
    <t xml:space="preserve">Oct-2027</t>
  </si>
  <si>
    <t xml:space="preserve">Nov-2027</t>
  </si>
  <si>
    <t xml:space="preserve">Dec-2027</t>
  </si>
  <si>
    <t xml:space="preserve">Jan-2028</t>
  </si>
  <si>
    <t xml:space="preserve">Feb-2028</t>
  </si>
  <si>
    <t xml:space="preserve">Mar-2028</t>
  </si>
  <si>
    <t xml:space="preserve">Apr-2028</t>
  </si>
  <si>
    <t xml:space="preserve">May-2028</t>
  </si>
  <si>
    <t xml:space="preserve">Jun-2028</t>
  </si>
  <si>
    <t xml:space="preserve">Jul-2028</t>
  </si>
  <si>
    <t xml:space="preserve">Summary - 2-Year Staggered Procurement</t>
  </si>
  <si>
    <t xml:space="preserve">Total credits - 24 months, staggered (pre-buffer)</t>
  </si>
  <si>
    <t xml:space="preserve">Buffer applied</t>
  </si>
  <si>
    <t xml:space="preserve">TOTAL CREDITS TO PROCURE (2 yrs, staggered, with buffer)</t>
  </si>
  <si>
    <t xml:space="preserve">Comparator - flat full-capacity estimate x24 months (pre-buffer)</t>
  </si>
  <si>
    <t xml:space="preserve">Comparator - flat full-capacity, with buffer (matches original renewal method x2 yrs)</t>
  </si>
  <si>
    <t xml:space="preserve">Estimated credit savings, staggered vs. flat 2-yr estimate</t>
  </si>
  <si>
    <t xml:space="preserve">Savings as % of flat 2-yr estimate</t>
  </si>
  <si>
    <t xml:space="preserve">Next step: monitor actual utilization monthly through P1-P2, confirm the P3 need-basis level, then lock the final 2-yr purchase quantity with the vendor before renewal.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</si>
</sst>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0%"/>
    <numFmt numFmtId="168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5395"/>
      <name val="Calibri"/>
      <family val="0"/>
      <charset val="1"/>
    </font>
    <font>
      <i val="true"/>
      <sz val="11"/>
      <color rgb="FF7F7F7F"/>
      <name val="Calibri"/>
      <family val="0"/>
      <charset val="1"/>
    </font>
    <font>
      <b val="true"/>
      <sz val="11"/>
      <color rgb="FF2E5395"/>
      <name val="Calibri"/>
      <family val="0"/>
      <charset val="1"/>
    </font>
    <font>
      <sz val="11"/>
      <color rgb="FF1F1F1F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1"/>
      <color rgb="FF1F1F1F"/>
      <name val="Calibri"/>
      <family val="0"/>
      <charset val="1"/>
    </font>
    <font>
      <i val="true"/>
      <sz val="11"/>
      <color rgb="FF80808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9C4"/>
        <bgColor rgb="FFFFF2CC"/>
      </patternFill>
    </fill>
    <fill>
      <patternFill patternType="solid">
        <fgColor rgb="FFDCE6F1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FF9C4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CE6F1"/>
      </patternFill>
    </fill>
    <fill>
      <patternFill patternType="solid">
        <fgColor rgb="FFC6E0B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2C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DD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2E5395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5" min="4" style="0" width="20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D5" s="5" t="n">
        <v>22849.26</v>
      </c>
    </row>
    <row r="6" customFormat="false" ht="15" hidden="false" customHeight="false" outlineLevel="0" collapsed="false">
      <c r="A6" s="4" t="s">
        <v>4</v>
      </c>
      <c r="D6" s="5" t="n">
        <v>15902.04</v>
      </c>
    </row>
    <row r="7" customFormat="false" ht="15" hidden="false" customHeight="false" outlineLevel="0" collapsed="false">
      <c r="A7" s="4" t="s">
        <v>5</v>
      </c>
      <c r="D7" s="5" t="n">
        <v>12700</v>
      </c>
    </row>
    <row r="8" customFormat="false" ht="15" hidden="false" customHeight="false" outlineLevel="0" collapsed="false">
      <c r="A8" s="4" t="s">
        <v>6</v>
      </c>
      <c r="D8" s="6" t="n">
        <v>0.1</v>
      </c>
    </row>
    <row r="10" customFormat="false" ht="15" hidden="false" customHeight="false" outlineLevel="0" collapsed="false">
      <c r="A10" s="7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8" t="s">
        <v>9</v>
      </c>
      <c r="B13" s="8" t="s">
        <v>10</v>
      </c>
      <c r="C13" s="8" t="s">
        <v>11</v>
      </c>
      <c r="D13" s="8" t="s">
        <v>12</v>
      </c>
      <c r="E13" s="8" t="s">
        <v>13</v>
      </c>
      <c r="F13" s="8" t="s">
        <v>14</v>
      </c>
    </row>
    <row r="14" customFormat="false" ht="15" hidden="false" customHeight="false" outlineLevel="0" collapsed="false">
      <c r="A14" s="9" t="s">
        <v>15</v>
      </c>
      <c r="B14" s="10" t="s">
        <v>16</v>
      </c>
      <c r="C14" s="11" t="s">
        <v>17</v>
      </c>
      <c r="D14" s="11" t="s">
        <v>18</v>
      </c>
      <c r="E14" s="12" t="n">
        <v>1</v>
      </c>
      <c r="F14" s="12" t="n">
        <v>1</v>
      </c>
    </row>
    <row r="15" customFormat="false" ht="15" hidden="false" customHeight="false" outlineLevel="0" collapsed="false">
      <c r="A15" s="13" t="s">
        <v>19</v>
      </c>
      <c r="B15" s="14" t="s">
        <v>20</v>
      </c>
      <c r="C15" s="15" t="s">
        <v>21</v>
      </c>
      <c r="D15" s="15" t="s">
        <v>22</v>
      </c>
      <c r="E15" s="16" t="s">
        <v>23</v>
      </c>
      <c r="F15" s="17" t="n">
        <v>1</v>
      </c>
    </row>
    <row r="16" customFormat="false" ht="15" hidden="false" customHeight="false" outlineLevel="0" collapsed="false">
      <c r="A16" s="18" t="s">
        <v>24</v>
      </c>
      <c r="B16" s="19" t="s">
        <v>25</v>
      </c>
      <c r="C16" s="20" t="s">
        <v>26</v>
      </c>
      <c r="D16" s="20" t="s">
        <v>22</v>
      </c>
      <c r="E16" s="21" t="s">
        <v>23</v>
      </c>
      <c r="F16" s="22" t="n">
        <v>1</v>
      </c>
    </row>
    <row r="17" customFormat="false" ht="15" hidden="false" customHeight="false" outlineLevel="0" collapsed="false">
      <c r="A17" s="23" t="s">
        <v>27</v>
      </c>
      <c r="B17" s="24" t="s">
        <v>28</v>
      </c>
      <c r="C17" s="25" t="s">
        <v>29</v>
      </c>
      <c r="D17" s="25" t="s">
        <v>30</v>
      </c>
      <c r="E17" s="26" t="n">
        <v>1</v>
      </c>
      <c r="F17" s="26" t="n">
        <v>1</v>
      </c>
    </row>
    <row r="19" customFormat="false" ht="15" hidden="false" customHeight="false" outlineLevel="0" collapsed="false">
      <c r="A19" s="3" t="s">
        <v>31</v>
      </c>
    </row>
    <row r="20" customFormat="false" ht="15" hidden="false" customHeight="false" outlineLevel="0" collapsed="false">
      <c r="A20" s="8" t="s">
        <v>9</v>
      </c>
      <c r="B20" s="8" t="s">
        <v>32</v>
      </c>
      <c r="C20" s="8" t="s">
        <v>33</v>
      </c>
    </row>
    <row r="21" customFormat="false" ht="15" hidden="false" customHeight="false" outlineLevel="0" collapsed="false">
      <c r="A21" s="9" t="s">
        <v>15</v>
      </c>
      <c r="B21" s="27" t="n">
        <f aca="false">$D$5</f>
        <v>22849.26</v>
      </c>
      <c r="C21" s="28" t="n">
        <f aca="false">B21/$D$5</f>
        <v>1</v>
      </c>
    </row>
    <row r="22" customFormat="false" ht="15" hidden="false" customHeight="false" outlineLevel="0" collapsed="false">
      <c r="A22" s="13" t="s">
        <v>19</v>
      </c>
      <c r="B22" s="29" t="n">
        <f aca="false">$D$6</f>
        <v>15902.04</v>
      </c>
      <c r="C22" s="30" t="n">
        <f aca="false">B22/$D$5</f>
        <v>0.69595426722791</v>
      </c>
    </row>
    <row r="23" customFormat="false" ht="15" hidden="false" customHeight="false" outlineLevel="0" collapsed="false">
      <c r="A23" s="18" t="s">
        <v>24</v>
      </c>
      <c r="B23" s="31" t="n">
        <f aca="false">$D$6+0.1*$D$5</f>
        <v>18186.966</v>
      </c>
      <c r="C23" s="32" t="n">
        <f aca="false">B23/$D$5</f>
        <v>0.79595426722791</v>
      </c>
    </row>
    <row r="24" customFormat="false" ht="15" hidden="false" customHeight="false" outlineLevel="0" collapsed="false">
      <c r="A24" s="23" t="s">
        <v>27</v>
      </c>
      <c r="B24" s="33" t="n">
        <f aca="false">$D$5</f>
        <v>22849.26</v>
      </c>
      <c r="C24" s="34" t="n">
        <f aca="false">B24/$D$5</f>
        <v>1</v>
      </c>
    </row>
    <row r="26" customFormat="false" ht="15" hidden="false" customHeight="false" outlineLevel="0" collapsed="false">
      <c r="A26" s="7" t="s">
        <v>34</v>
      </c>
    </row>
    <row r="28" customFormat="false" ht="15" hidden="false" customHeight="false" outlineLevel="0" collapsed="false">
      <c r="A28" s="3" t="s">
        <v>35</v>
      </c>
    </row>
    <row r="29" customFormat="false" ht="15" hidden="false" customHeight="false" outlineLevel="0" collapsed="false">
      <c r="A29" s="8" t="s">
        <v>36</v>
      </c>
      <c r="B29" s="8" t="s">
        <v>37</v>
      </c>
      <c r="C29" s="8" t="s">
        <v>9</v>
      </c>
      <c r="D29" s="8" t="s">
        <v>38</v>
      </c>
      <c r="E29" s="8" t="s">
        <v>39</v>
      </c>
      <c r="F29" s="8" t="s">
        <v>40</v>
      </c>
      <c r="G29" s="8" t="s">
        <v>41</v>
      </c>
    </row>
    <row r="30" customFormat="false" ht="15" hidden="false" customHeight="false" outlineLevel="0" collapsed="false">
      <c r="A30" s="11" t="n">
        <v>1</v>
      </c>
      <c r="B30" s="11" t="s">
        <v>42</v>
      </c>
      <c r="C30" s="9" t="s">
        <v>15</v>
      </c>
      <c r="D30" s="27" t="n">
        <f aca="false">B21</f>
        <v>22849.26</v>
      </c>
      <c r="E30" s="27" t="n">
        <f aca="false">$D$7</f>
        <v>12700</v>
      </c>
      <c r="F30" s="35" t="n">
        <f aca="false">D30+E30</f>
        <v>35549.26</v>
      </c>
      <c r="G30" s="27" t="n">
        <f aca="false">F30</f>
        <v>35549.26</v>
      </c>
    </row>
    <row r="31" customFormat="false" ht="15" hidden="false" customHeight="false" outlineLevel="0" collapsed="false">
      <c r="A31" s="11" t="n">
        <v>2</v>
      </c>
      <c r="B31" s="11" t="s">
        <v>43</v>
      </c>
      <c r="C31" s="9" t="s">
        <v>15</v>
      </c>
      <c r="D31" s="27" t="n">
        <f aca="false">B21</f>
        <v>22849.26</v>
      </c>
      <c r="E31" s="27" t="n">
        <f aca="false">$D$7</f>
        <v>12700</v>
      </c>
      <c r="F31" s="35" t="n">
        <f aca="false">D31+E31</f>
        <v>35549.26</v>
      </c>
      <c r="G31" s="27" t="n">
        <f aca="false">G30+F31</f>
        <v>71098.52</v>
      </c>
    </row>
    <row r="32" customFormat="false" ht="15" hidden="false" customHeight="false" outlineLevel="0" collapsed="false">
      <c r="A32" s="11" t="n">
        <v>3</v>
      </c>
      <c r="B32" s="11" t="s">
        <v>44</v>
      </c>
      <c r="C32" s="9" t="s">
        <v>15</v>
      </c>
      <c r="D32" s="27" t="n">
        <f aca="false">B21</f>
        <v>22849.26</v>
      </c>
      <c r="E32" s="27" t="n">
        <f aca="false">$D$7</f>
        <v>12700</v>
      </c>
      <c r="F32" s="35" t="n">
        <f aca="false">D32+E32</f>
        <v>35549.26</v>
      </c>
      <c r="G32" s="27" t="n">
        <f aca="false">G31+F32</f>
        <v>106647.78</v>
      </c>
    </row>
    <row r="33" customFormat="false" ht="15" hidden="false" customHeight="false" outlineLevel="0" collapsed="false">
      <c r="A33" s="15" t="n">
        <v>4</v>
      </c>
      <c r="B33" s="15" t="s">
        <v>45</v>
      </c>
      <c r="C33" s="13" t="s">
        <v>19</v>
      </c>
      <c r="D33" s="29" t="n">
        <f aca="false">B22</f>
        <v>15902.04</v>
      </c>
      <c r="E33" s="29" t="n">
        <f aca="false">$D$7</f>
        <v>12700</v>
      </c>
      <c r="F33" s="36" t="n">
        <f aca="false">D33+E33</f>
        <v>28602.04</v>
      </c>
      <c r="G33" s="29" t="n">
        <f aca="false">G32+F33</f>
        <v>135249.82</v>
      </c>
    </row>
    <row r="34" customFormat="false" ht="15" hidden="false" customHeight="false" outlineLevel="0" collapsed="false">
      <c r="A34" s="15" t="n">
        <v>5</v>
      </c>
      <c r="B34" s="15" t="s">
        <v>46</v>
      </c>
      <c r="C34" s="13" t="s">
        <v>19</v>
      </c>
      <c r="D34" s="29" t="n">
        <f aca="false">B22</f>
        <v>15902.04</v>
      </c>
      <c r="E34" s="29" t="n">
        <f aca="false">$D$7</f>
        <v>12700</v>
      </c>
      <c r="F34" s="36" t="n">
        <f aca="false">D34+E34</f>
        <v>28602.04</v>
      </c>
      <c r="G34" s="29" t="n">
        <f aca="false">G33+F34</f>
        <v>163851.86</v>
      </c>
    </row>
    <row r="35" customFormat="false" ht="15" hidden="false" customHeight="false" outlineLevel="0" collapsed="false">
      <c r="A35" s="15" t="n">
        <v>6</v>
      </c>
      <c r="B35" s="15" t="s">
        <v>47</v>
      </c>
      <c r="C35" s="13" t="s">
        <v>19</v>
      </c>
      <c r="D35" s="29" t="n">
        <f aca="false">B22</f>
        <v>15902.04</v>
      </c>
      <c r="E35" s="29" t="n">
        <f aca="false">$D$7</f>
        <v>12700</v>
      </c>
      <c r="F35" s="36" t="n">
        <f aca="false">D35+E35</f>
        <v>28602.04</v>
      </c>
      <c r="G35" s="29" t="n">
        <f aca="false">G34+F35</f>
        <v>192453.9</v>
      </c>
    </row>
    <row r="36" customFormat="false" ht="15" hidden="false" customHeight="false" outlineLevel="0" collapsed="false">
      <c r="A36" s="15" t="n">
        <v>7</v>
      </c>
      <c r="B36" s="15" t="s">
        <v>48</v>
      </c>
      <c r="C36" s="13" t="s">
        <v>19</v>
      </c>
      <c r="D36" s="29" t="n">
        <f aca="false">B22</f>
        <v>15902.04</v>
      </c>
      <c r="E36" s="29" t="n">
        <f aca="false">$D$7</f>
        <v>12700</v>
      </c>
      <c r="F36" s="36" t="n">
        <f aca="false">D36+E36</f>
        <v>28602.04</v>
      </c>
      <c r="G36" s="29" t="n">
        <f aca="false">G35+F36</f>
        <v>221055.94</v>
      </c>
    </row>
    <row r="37" customFormat="false" ht="15" hidden="false" customHeight="false" outlineLevel="0" collapsed="false">
      <c r="A37" s="15" t="n">
        <v>8</v>
      </c>
      <c r="B37" s="15" t="s">
        <v>49</v>
      </c>
      <c r="C37" s="13" t="s">
        <v>19</v>
      </c>
      <c r="D37" s="29" t="n">
        <f aca="false">B22</f>
        <v>15902.04</v>
      </c>
      <c r="E37" s="29" t="n">
        <f aca="false">$D$7</f>
        <v>12700</v>
      </c>
      <c r="F37" s="36" t="n">
        <f aca="false">D37+E37</f>
        <v>28602.04</v>
      </c>
      <c r="G37" s="29" t="n">
        <f aca="false">G36+F37</f>
        <v>249657.98</v>
      </c>
    </row>
    <row r="38" customFormat="false" ht="15" hidden="false" customHeight="false" outlineLevel="0" collapsed="false">
      <c r="A38" s="15" t="n">
        <v>9</v>
      </c>
      <c r="B38" s="15" t="s">
        <v>50</v>
      </c>
      <c r="C38" s="13" t="s">
        <v>19</v>
      </c>
      <c r="D38" s="29" t="n">
        <f aca="false">B22</f>
        <v>15902.04</v>
      </c>
      <c r="E38" s="29" t="n">
        <f aca="false">$D$7</f>
        <v>12700</v>
      </c>
      <c r="F38" s="36" t="n">
        <f aca="false">D38+E38</f>
        <v>28602.04</v>
      </c>
      <c r="G38" s="29" t="n">
        <f aca="false">G37+F38</f>
        <v>278260.02</v>
      </c>
    </row>
    <row r="39" customFormat="false" ht="15" hidden="false" customHeight="false" outlineLevel="0" collapsed="false">
      <c r="A39" s="20" t="n">
        <v>10</v>
      </c>
      <c r="B39" s="20" t="s">
        <v>51</v>
      </c>
      <c r="C39" s="18" t="s">
        <v>24</v>
      </c>
      <c r="D39" s="31" t="n">
        <f aca="false">B23</f>
        <v>18186.966</v>
      </c>
      <c r="E39" s="31" t="n">
        <f aca="false">$D$7</f>
        <v>12700</v>
      </c>
      <c r="F39" s="37" t="n">
        <f aca="false">D39+E39</f>
        <v>30886.966</v>
      </c>
      <c r="G39" s="31" t="n">
        <f aca="false">G38+F39</f>
        <v>309146.986</v>
      </c>
    </row>
    <row r="40" customFormat="false" ht="15" hidden="false" customHeight="false" outlineLevel="0" collapsed="false">
      <c r="A40" s="20" t="n">
        <v>11</v>
      </c>
      <c r="B40" s="20" t="s">
        <v>52</v>
      </c>
      <c r="C40" s="18" t="s">
        <v>24</v>
      </c>
      <c r="D40" s="31" t="n">
        <f aca="false">B23</f>
        <v>18186.966</v>
      </c>
      <c r="E40" s="31" t="n">
        <f aca="false">$D$7</f>
        <v>12700</v>
      </c>
      <c r="F40" s="37" t="n">
        <f aca="false">D40+E40</f>
        <v>30886.966</v>
      </c>
      <c r="G40" s="31" t="n">
        <f aca="false">G39+F40</f>
        <v>340033.952</v>
      </c>
    </row>
    <row r="41" customFormat="false" ht="15" hidden="false" customHeight="false" outlineLevel="0" collapsed="false">
      <c r="A41" s="20" t="n">
        <v>12</v>
      </c>
      <c r="B41" s="20" t="s">
        <v>53</v>
      </c>
      <c r="C41" s="18" t="s">
        <v>24</v>
      </c>
      <c r="D41" s="31" t="n">
        <f aca="false">B23</f>
        <v>18186.966</v>
      </c>
      <c r="E41" s="31" t="n">
        <f aca="false">$D$7</f>
        <v>12700</v>
      </c>
      <c r="F41" s="37" t="n">
        <f aca="false">D41+E41</f>
        <v>30886.966</v>
      </c>
      <c r="G41" s="31" t="n">
        <f aca="false">G40+F41</f>
        <v>370920.918</v>
      </c>
    </row>
    <row r="42" customFormat="false" ht="15" hidden="false" customHeight="false" outlineLevel="0" collapsed="false">
      <c r="A42" s="20" t="n">
        <v>13</v>
      </c>
      <c r="B42" s="20" t="s">
        <v>54</v>
      </c>
      <c r="C42" s="18" t="s">
        <v>24</v>
      </c>
      <c r="D42" s="31" t="n">
        <f aca="false">B23</f>
        <v>18186.966</v>
      </c>
      <c r="E42" s="31" t="n">
        <f aca="false">$D$7</f>
        <v>12700</v>
      </c>
      <c r="F42" s="37" t="n">
        <f aca="false">D42+E42</f>
        <v>30886.966</v>
      </c>
      <c r="G42" s="31" t="n">
        <f aca="false">G41+F42</f>
        <v>401807.884</v>
      </c>
    </row>
    <row r="43" customFormat="false" ht="15" hidden="false" customHeight="false" outlineLevel="0" collapsed="false">
      <c r="A43" s="20" t="n">
        <v>14</v>
      </c>
      <c r="B43" s="20" t="s">
        <v>55</v>
      </c>
      <c r="C43" s="18" t="s">
        <v>24</v>
      </c>
      <c r="D43" s="31" t="n">
        <f aca="false">B23</f>
        <v>18186.966</v>
      </c>
      <c r="E43" s="31" t="n">
        <f aca="false">$D$7</f>
        <v>12700</v>
      </c>
      <c r="F43" s="37" t="n">
        <f aca="false">D43+E43</f>
        <v>30886.966</v>
      </c>
      <c r="G43" s="31" t="n">
        <f aca="false">G42+F43</f>
        <v>432694.85</v>
      </c>
    </row>
    <row r="44" customFormat="false" ht="15" hidden="false" customHeight="false" outlineLevel="0" collapsed="false">
      <c r="A44" s="20" t="n">
        <v>15</v>
      </c>
      <c r="B44" s="20" t="s">
        <v>56</v>
      </c>
      <c r="C44" s="18" t="s">
        <v>24</v>
      </c>
      <c r="D44" s="31" t="n">
        <f aca="false">B23</f>
        <v>18186.966</v>
      </c>
      <c r="E44" s="31" t="n">
        <f aca="false">$D$7</f>
        <v>12700</v>
      </c>
      <c r="F44" s="37" t="n">
        <f aca="false">D44+E44</f>
        <v>30886.966</v>
      </c>
      <c r="G44" s="31" t="n">
        <f aca="false">G43+F44</f>
        <v>463581.816</v>
      </c>
    </row>
    <row r="45" customFormat="false" ht="15" hidden="false" customHeight="false" outlineLevel="0" collapsed="false">
      <c r="A45" s="25" t="n">
        <v>16</v>
      </c>
      <c r="B45" s="25" t="s">
        <v>57</v>
      </c>
      <c r="C45" s="23" t="s">
        <v>27</v>
      </c>
      <c r="D45" s="33" t="n">
        <f aca="false">B24</f>
        <v>22849.26</v>
      </c>
      <c r="E45" s="33" t="n">
        <f aca="false">$D$7</f>
        <v>12700</v>
      </c>
      <c r="F45" s="38" t="n">
        <f aca="false">D45+E45</f>
        <v>35549.26</v>
      </c>
      <c r="G45" s="33" t="n">
        <f aca="false">G44+F45</f>
        <v>499131.076</v>
      </c>
    </row>
    <row r="46" customFormat="false" ht="15" hidden="false" customHeight="false" outlineLevel="0" collapsed="false">
      <c r="A46" s="25" t="n">
        <v>17</v>
      </c>
      <c r="B46" s="25" t="s">
        <v>58</v>
      </c>
      <c r="C46" s="23" t="s">
        <v>27</v>
      </c>
      <c r="D46" s="33" t="n">
        <f aca="false">B24</f>
        <v>22849.26</v>
      </c>
      <c r="E46" s="33" t="n">
        <f aca="false">$D$7</f>
        <v>12700</v>
      </c>
      <c r="F46" s="38" t="n">
        <f aca="false">D46+E46</f>
        <v>35549.26</v>
      </c>
      <c r="G46" s="33" t="n">
        <f aca="false">G45+F46</f>
        <v>534680.336</v>
      </c>
    </row>
    <row r="47" customFormat="false" ht="15" hidden="false" customHeight="false" outlineLevel="0" collapsed="false">
      <c r="A47" s="25" t="n">
        <v>18</v>
      </c>
      <c r="B47" s="25" t="s">
        <v>59</v>
      </c>
      <c r="C47" s="23" t="s">
        <v>27</v>
      </c>
      <c r="D47" s="33" t="n">
        <f aca="false">B24</f>
        <v>22849.26</v>
      </c>
      <c r="E47" s="33" t="n">
        <f aca="false">$D$7</f>
        <v>12700</v>
      </c>
      <c r="F47" s="38" t="n">
        <f aca="false">D47+E47</f>
        <v>35549.26</v>
      </c>
      <c r="G47" s="33" t="n">
        <f aca="false">G46+F47</f>
        <v>570229.596</v>
      </c>
    </row>
    <row r="48" customFormat="false" ht="15" hidden="false" customHeight="false" outlineLevel="0" collapsed="false">
      <c r="A48" s="25" t="n">
        <v>19</v>
      </c>
      <c r="B48" s="25" t="s">
        <v>60</v>
      </c>
      <c r="C48" s="23" t="s">
        <v>27</v>
      </c>
      <c r="D48" s="33" t="n">
        <f aca="false">B24</f>
        <v>22849.26</v>
      </c>
      <c r="E48" s="33" t="n">
        <f aca="false">$D$7</f>
        <v>12700</v>
      </c>
      <c r="F48" s="38" t="n">
        <f aca="false">D48+E48</f>
        <v>35549.26</v>
      </c>
      <c r="G48" s="33" t="n">
        <f aca="false">G47+F48</f>
        <v>605778.856</v>
      </c>
    </row>
    <row r="49" customFormat="false" ht="15" hidden="false" customHeight="false" outlineLevel="0" collapsed="false">
      <c r="A49" s="25" t="n">
        <v>20</v>
      </c>
      <c r="B49" s="25" t="s">
        <v>61</v>
      </c>
      <c r="C49" s="23" t="s">
        <v>27</v>
      </c>
      <c r="D49" s="33" t="n">
        <f aca="false">B24</f>
        <v>22849.26</v>
      </c>
      <c r="E49" s="33" t="n">
        <f aca="false">$D$7</f>
        <v>12700</v>
      </c>
      <c r="F49" s="38" t="n">
        <f aca="false">D49+E49</f>
        <v>35549.26</v>
      </c>
      <c r="G49" s="33" t="n">
        <f aca="false">G48+F49</f>
        <v>641328.116</v>
      </c>
    </row>
    <row r="50" customFormat="false" ht="15" hidden="false" customHeight="false" outlineLevel="0" collapsed="false">
      <c r="A50" s="25" t="n">
        <v>21</v>
      </c>
      <c r="B50" s="25" t="s">
        <v>62</v>
      </c>
      <c r="C50" s="23" t="s">
        <v>27</v>
      </c>
      <c r="D50" s="33" t="n">
        <f aca="false">B24</f>
        <v>22849.26</v>
      </c>
      <c r="E50" s="33" t="n">
        <f aca="false">$D$7</f>
        <v>12700</v>
      </c>
      <c r="F50" s="38" t="n">
        <f aca="false">D50+E50</f>
        <v>35549.26</v>
      </c>
      <c r="G50" s="33" t="n">
        <f aca="false">G49+F50</f>
        <v>676877.376</v>
      </c>
    </row>
    <row r="51" customFormat="false" ht="15" hidden="false" customHeight="false" outlineLevel="0" collapsed="false">
      <c r="A51" s="25" t="n">
        <v>22</v>
      </c>
      <c r="B51" s="25" t="s">
        <v>63</v>
      </c>
      <c r="C51" s="23" t="s">
        <v>27</v>
      </c>
      <c r="D51" s="33" t="n">
        <f aca="false">B24</f>
        <v>22849.26</v>
      </c>
      <c r="E51" s="33" t="n">
        <f aca="false">$D$7</f>
        <v>12700</v>
      </c>
      <c r="F51" s="38" t="n">
        <f aca="false">D51+E51</f>
        <v>35549.26</v>
      </c>
      <c r="G51" s="33" t="n">
        <f aca="false">G50+F51</f>
        <v>712426.636</v>
      </c>
    </row>
    <row r="52" customFormat="false" ht="15" hidden="false" customHeight="false" outlineLevel="0" collapsed="false">
      <c r="A52" s="25" t="n">
        <v>23</v>
      </c>
      <c r="B52" s="25" t="s">
        <v>64</v>
      </c>
      <c r="C52" s="23" t="s">
        <v>27</v>
      </c>
      <c r="D52" s="33" t="n">
        <f aca="false">B24</f>
        <v>22849.26</v>
      </c>
      <c r="E52" s="33" t="n">
        <f aca="false">$D$7</f>
        <v>12700</v>
      </c>
      <c r="F52" s="38" t="n">
        <f aca="false">D52+E52</f>
        <v>35549.26</v>
      </c>
      <c r="G52" s="33" t="n">
        <f aca="false">G51+F52</f>
        <v>747975.896</v>
      </c>
    </row>
    <row r="53" customFormat="false" ht="15" hidden="false" customHeight="false" outlineLevel="0" collapsed="false">
      <c r="A53" s="25" t="n">
        <v>24</v>
      </c>
      <c r="B53" s="25" t="s">
        <v>65</v>
      </c>
      <c r="C53" s="23" t="s">
        <v>27</v>
      </c>
      <c r="D53" s="33" t="n">
        <f aca="false">B24</f>
        <v>22849.26</v>
      </c>
      <c r="E53" s="33" t="n">
        <f aca="false">$D$7</f>
        <v>12700</v>
      </c>
      <c r="F53" s="38" t="n">
        <f aca="false">D53+E53</f>
        <v>35549.26</v>
      </c>
      <c r="G53" s="33" t="n">
        <f aca="false">G52+F53</f>
        <v>783525.156</v>
      </c>
    </row>
    <row r="55" customFormat="false" ht="15" hidden="false" customHeight="false" outlineLevel="0" collapsed="false">
      <c r="A55" s="3" t="s">
        <v>66</v>
      </c>
    </row>
    <row r="56" customFormat="false" ht="15" hidden="false" customHeight="false" outlineLevel="0" collapsed="false">
      <c r="A56" s="4" t="s">
        <v>67</v>
      </c>
      <c r="D56" s="39" t="n">
        <f aca="false">G53</f>
        <v>783525.156</v>
      </c>
    </row>
    <row r="57" customFormat="false" ht="15" hidden="false" customHeight="false" outlineLevel="0" collapsed="false">
      <c r="A57" s="4" t="s">
        <v>68</v>
      </c>
      <c r="D57" s="40" t="n">
        <f aca="false">$D$8</f>
        <v>0.1</v>
      </c>
    </row>
    <row r="58" customFormat="false" ht="15" hidden="false" customHeight="false" outlineLevel="0" collapsed="false">
      <c r="A58" s="41" t="s">
        <v>69</v>
      </c>
      <c r="D58" s="42" t="n">
        <f aca="false">D56*(1+D57)</f>
        <v>861877.6716</v>
      </c>
    </row>
    <row r="60" customFormat="false" ht="15" hidden="false" customHeight="false" outlineLevel="0" collapsed="false">
      <c r="A60" s="4" t="s">
        <v>70</v>
      </c>
      <c r="D60" s="39" t="n">
        <f aca="false">($D$5+$D$7)*24</f>
        <v>853182.24</v>
      </c>
    </row>
    <row r="61" customFormat="false" ht="15" hidden="false" customHeight="false" outlineLevel="0" collapsed="false">
      <c r="A61" s="4" t="s">
        <v>71</v>
      </c>
      <c r="D61" s="43" t="n">
        <f aca="false">D60*(1+D57)</f>
        <v>938500.464</v>
      </c>
    </row>
    <row r="62" customFormat="false" ht="15" hidden="false" customHeight="false" outlineLevel="0" collapsed="false">
      <c r="A62" s="44" t="s">
        <v>72</v>
      </c>
      <c r="D62" s="45" t="n">
        <f aca="false">D61-D58</f>
        <v>76622.7923999997</v>
      </c>
    </row>
    <row r="63" customFormat="false" ht="15" hidden="false" customHeight="false" outlineLevel="0" collapsed="false">
      <c r="A63" s="4" t="s">
        <v>73</v>
      </c>
      <c r="D63" s="40" t="n">
        <f aca="false">D62/D61</f>
        <v>0.0816438513769341</v>
      </c>
    </row>
    <row r="65" customFormat="false" ht="15" hidden="false" customHeight="false" outlineLevel="0" collapsed="false">
      <c r="A65" s="7" t="s">
        <v>74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2026-07-20T19:11:12Z</dcterms:created>
  <dc:creator>openpyxl</dc:creator>
  <dc:description/>
  <dc:language>en-US</dc:language>
  <cp:lastModifiedBy/>
  <dcterms:modified xsi:type="dcterms:W3CDTF">2026-07-20T19:11:12Z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