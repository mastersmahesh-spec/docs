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redit_Rates" sheetId="1" state="visible" r:id="rId3"/>
    <sheet name="Inputs" sheetId="2" state="visible" r:id="rId4"/>
    <sheet name="Results" sheetId="3" state="visible" r:id="rId5"/>
    <sheet name="Dashboard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<sst xmlns="http://schemas.openxmlformats.org/spreadsheetml/2006/main" count="217" uniqueCount="167">
  <si>
    <t xml:space="preserve">Capella Credit Rates</t>
  </si>
  <si>
    <t xml:space="preserve">Update columns G and H with rates from your Capella console before use.</t>
  </si>
  <si>
    <t xml:space="preserve">All values in columns G and H are placeholders only.</t>
  </si>
  <si>
    <t xml:space="preserve">#</t>
  </si>
  <si>
    <t xml:space="preserve">Instance</t>
  </si>
  <si>
    <t xml:space="preserve">vCPU</t>
  </si>
  <si>
    <t xml:space="preserve">RAM (GB)</t>
  </si>
  <si>
    <t xml:space="preserve">Max Disk (TB)</t>
  </si>
  <si>
    <t xml:space="preserve">Credits / hr  (Developer Pro)</t>
  </si>
  <si>
    <t xml:space="preserve">Credits / hr  (Enterprise)</t>
  </si>
  <si>
    <t xml:space="preserve">Notes</t>
  </si>
  <si>
    <t xml:space="preserve">m5.xlarge</t>
  </si>
  <si>
    <t xml:space="preserve">Dev/test, light workloads</t>
  </si>
  <si>
    <t xml:space="preserve">m5.2xlarge</t>
  </si>
  <si>
    <t xml:space="preserve">Small-medium production</t>
  </si>
  <si>
    <t xml:space="preserve">m5.4xlarge</t>
  </si>
  <si>
    <t xml:space="preserve">Medium production</t>
  </si>
  <si>
    <t xml:space="preserve">m5.8xlarge</t>
  </si>
  <si>
    <t xml:space="preserve">Large production</t>
  </si>
  <si>
    <t xml:space="preserve">m5.12xlarge</t>
  </si>
  <si>
    <t xml:space="preserve">High-performance</t>
  </si>
  <si>
    <t xml:space="preserve">m5.16xlarge</t>
  </si>
  <si>
    <t xml:space="preserve">Enterprise-scale</t>
  </si>
  <si>
    <t xml:space="preserve">Capella Cluster Sizing — Inputs</t>
  </si>
  <si>
    <t xml:space="preserve">Enter values in the yellow cells. Formulas and results are in the Results and Dashboard tabs.</t>
  </si>
  <si>
    <t xml:space="preserve">General</t>
  </si>
  <si>
    <t xml:space="preserve">Deployment Mode</t>
  </si>
  <si>
    <t xml:space="preserve">MDS</t>
  </si>
  <si>
    <t xml:space="preserve">MDS = dedicated nodes per service  |  Co-located = all on shared nodes  |  Hybrid = data dedicated, rest shared</t>
  </si>
  <si>
    <t xml:space="preserve">Service Tier</t>
  </si>
  <si>
    <t xml:space="preserve">Developer Pro</t>
  </si>
  <si>
    <t xml:space="preserve">Affects which credit rate column is used from Credit_Rates tab</t>
  </si>
  <si>
    <t xml:space="preserve">Current Credit Balance</t>
  </si>
  <si>
    <t xml:space="preserve">credits</t>
  </si>
  <si>
    <t xml:space="preserve">Available credits at start of planning period</t>
  </si>
  <si>
    <t xml:space="preserve">Planning Horizon</t>
  </si>
  <si>
    <t xml:space="preserve">months</t>
  </si>
  <si>
    <t xml:space="preserve">Projection window for runway and balance forecasts</t>
  </si>
  <si>
    <t xml:space="preserve">Data Service</t>
  </si>
  <si>
    <t xml:space="preserve">Document Count</t>
  </si>
  <si>
    <t xml:space="preserve">docs</t>
  </si>
  <si>
    <t xml:space="preserve">Total number of documents across all buckets</t>
  </si>
  <si>
    <t xml:space="preserve">Avg Document Size</t>
  </si>
  <si>
    <t xml:space="preserve">bytes</t>
  </si>
  <si>
    <t xml:space="preserve">Average size of a single document (value only, not key)</t>
  </si>
  <si>
    <t xml:space="preserve">Avg ID / Key Size</t>
  </si>
  <si>
    <t xml:space="preserve">Average document key length in bytes</t>
  </si>
  <si>
    <t xml:space="preserve">Replica Count</t>
  </si>
  <si>
    <t xml:space="preserve">1 = standard HA  |  2 = extra durability</t>
  </si>
  <si>
    <t xml:space="preserve">Working Set %</t>
  </si>
  <si>
    <t xml:space="preserve">%</t>
  </si>
  <si>
    <t xml:space="preserve">Percentage of dataset that must reside in RAM at all times</t>
  </si>
  <si>
    <t xml:space="preserve">Compression Ratio</t>
  </si>
  <si>
    <t xml:space="preserve">0.7 = Snappy estimate for JSON  |  Use 1.0 for already-compressed binaries</t>
  </si>
  <si>
    <t xml:space="preserve">Storage Engine</t>
  </si>
  <si>
    <t xml:space="preserve">Magma</t>
  </si>
  <si>
    <t xml:space="preserve">Magma = append multiplier 2.2  |  Couchstore = 3.0</t>
  </si>
  <si>
    <t xml:space="preserve">Documents Deleted / Day</t>
  </si>
  <si>
    <t xml:space="preserve">Deletions + TTL expirations per day  —  affects tombstone space</t>
  </si>
  <si>
    <t xml:space="preserve">Purge Interval</t>
  </si>
  <si>
    <t xml:space="preserve">days</t>
  </si>
  <si>
    <t xml:space="preserve">Metadata purge interval  —  default is 3 days</t>
  </si>
  <si>
    <t xml:space="preserve">Index Service</t>
  </si>
  <si>
    <t xml:space="preserve">Number of Index Entries</t>
  </si>
  <si>
    <t xml:space="preserve">entries</t>
  </si>
  <si>
    <t xml:space="preserve">Total entries across all indexes  (not unique documents)</t>
  </si>
  <si>
    <t xml:space="preserve">Avg Secondary Key Size</t>
  </si>
  <si>
    <t xml:space="preserve">Average size of the indexed field value in bytes</t>
  </si>
  <si>
    <t xml:space="preserve">Number of Indexes</t>
  </si>
  <si>
    <t xml:space="preserve">Total GSI indexes in the cluster</t>
  </si>
  <si>
    <t xml:space="preserve">Index Storage Mode</t>
  </si>
  <si>
    <t xml:space="preserve">Standard GSI (Plasma)</t>
  </si>
  <si>
    <t xml:space="preserve">Plasma = Standard GSI, 20% resident  |  Nitro = Memory-Optimized, 100% resident</t>
  </si>
  <si>
    <t xml:space="preserve">Query Service</t>
  </si>
  <si>
    <t xml:space="preserve">Target Concurrent Queries</t>
  </si>
  <si>
    <t xml:space="preserve">Peak simultaneous N1QL / SQL++ queries  —  Couchbase allows CPU cores x 4 concurrent queries per node</t>
  </si>
  <si>
    <t xml:space="preserve">Eventing Service</t>
  </si>
  <si>
    <t xml:space="preserve">Number of Eventing Functions</t>
  </si>
  <si>
    <t xml:space="preserve">Number of deployed Eventing functions</t>
  </si>
  <si>
    <t xml:space="preserve">Mutation Rate</t>
  </si>
  <si>
    <t xml:space="preserve">mutations/sec</t>
  </si>
  <si>
    <t xml:space="preserve">Expected peak mutations per second across all buckets</t>
  </si>
  <si>
    <t xml:space="preserve">Timer Usage</t>
  </si>
  <si>
    <t xml:space="preserve">No</t>
  </si>
  <si>
    <t xml:space="preserve">Do any functions use timers? Each active timer consumes ~1 KB of storage</t>
  </si>
  <si>
    <t xml:space="preserve">Active Timer Count</t>
  </si>
  <si>
    <t xml:space="preserve">timers</t>
  </si>
  <si>
    <t xml:space="preserve">Number of concurrently active timers (if Timer Usage = Yes)</t>
  </si>
  <si>
    <t xml:space="preserve">Sizing constants (per Couchbase documentation)</t>
  </si>
  <si>
    <t xml:space="preserve">RAM overhead:  25%   |   High water mark:  85%   |   Metadata per document:  56 bytes</t>
  </si>
  <si>
    <t xml:space="preserve">Index overhead:  25%   |   Plasma working set:  20%   |   Nitro working set:  100%</t>
  </si>
  <si>
    <t xml:space="preserve">Eventing:  8 vCPU recommended per node  |  ~50,000 mutations/sec per node  |  100 MB storage per function</t>
  </si>
  <si>
    <t xml:space="preserve">Co-located RAM allocation:  85% of instance RAM available for Couchbase services</t>
  </si>
  <si>
    <t xml:space="preserve">Sizing Results</t>
  </si>
  <si>
    <t xml:space="preserve">A.  Sizing Requirements  (Couchbase official formulas)</t>
  </si>
  <si>
    <t xml:space="preserve">Metric</t>
  </si>
  <si>
    <t xml:space="preserve">Value</t>
  </si>
  <si>
    <t xml:space="preserve">Unit</t>
  </si>
  <si>
    <t xml:space="preserve">Formula basis</t>
  </si>
  <si>
    <t xml:space="preserve">Data Service  —  RAM Required</t>
  </si>
  <si>
    <t xml:space="preserve">GB</t>
  </si>
  <si>
    <t xml:space="preserve">(metadata + working set) x 1.25 overhead / 0.85 high water mark</t>
  </si>
  <si>
    <t xml:space="preserve">Data Service  —  Disk Required</t>
  </si>
  <si>
    <t xml:space="preserve">(dataset x copies + metadata + keys) x append-multiplier + tombstones</t>
  </si>
  <si>
    <t xml:space="preserve">Index Service  —  RAM Required</t>
  </si>
  <si>
    <t xml:space="preserve">Nitro: 100% resident x 1.25  |  Plasma: x2 x 1.25 x 20% resident  |  x num indexes</t>
  </si>
  <si>
    <t xml:space="preserve">Query Service  —  vCPUs Required</t>
  </si>
  <si>
    <t xml:space="preserve">vCPUs</t>
  </si>
  <si>
    <t xml:space="preserve">Couchbase: CPU cores x 4 = max concurrent queries</t>
  </si>
  <si>
    <t xml:space="preserve">Eventing  —  Nodes Required (min 2)</t>
  </si>
  <si>
    <t xml:space="preserve">nodes</t>
  </si>
  <si>
    <t xml:space="preserve">~50,000 mutations/sec per 8-vCPU node  |  minimum 2 for HA</t>
  </si>
  <si>
    <t xml:space="preserve">Eventing  —  Storage Required</t>
  </si>
  <si>
    <t xml:space="preserve">MB</t>
  </si>
  <si>
    <t xml:space="preserve">100 MB per function  +  1 KB per active timer</t>
  </si>
  <si>
    <t xml:space="preserve">B.  Instance Selection  (choose per service)</t>
  </si>
  <si>
    <t xml:space="preserve">Service</t>
  </si>
  <si>
    <t xml:space="preserve">Credits / hr</t>
  </si>
  <si>
    <t xml:space="preserve">C.  MDS  —  Dedicated Nodes per Service</t>
  </si>
  <si>
    <t xml:space="preserve">Nodes</t>
  </si>
  <si>
    <t xml:space="preserve">Credits / Month</t>
  </si>
  <si>
    <t xml:space="preserve">Total</t>
  </si>
  <si>
    <t xml:space="preserve">D.  Co-located  —  All Services on Shared Nodes</t>
  </si>
  <si>
    <t xml:space="preserve">Nodes are sized to the largest single-service requirement. Combined Data + Index RAM must fit within node RAM (85% allocation).</t>
  </si>
  <si>
    <t xml:space="preserve">Pool</t>
  </si>
  <si>
    <t xml:space="preserve">All Services Combined</t>
  </si>
  <si>
    <t xml:space="preserve">E.  Hybrid  —  Data Dedicated  |  Index + Query + Eventing Shared</t>
  </si>
  <si>
    <t xml:space="preserve">Data Pool  (dedicated)</t>
  </si>
  <si>
    <t xml:space="preserve">Shared Pool  (Index + Query + Eventing)</t>
  </si>
  <si>
    <t xml:space="preserve">F.  Runway Projection  (based on selected mode)</t>
  </si>
  <si>
    <t xml:space="preserve">Credits / Month  (selected mode)</t>
  </si>
  <si>
    <t xml:space="preserve">credits/mo</t>
  </si>
  <si>
    <t xml:space="preserve">Available Credits</t>
  </si>
  <si>
    <t xml:space="preserve">Projected Runway</t>
  </si>
  <si>
    <t xml:space="preserve">Projected Expiry Date</t>
  </si>
  <si>
    <t xml:space="preserve">Balance Forecast</t>
  </si>
  <si>
    <t xml:space="preserve">Month</t>
  </si>
  <si>
    <t xml:space="preserve">Remaining Balance</t>
  </si>
  <si>
    <t xml:space="preserve">Month 3</t>
  </si>
  <si>
    <t xml:space="preserve">Month 6</t>
  </si>
  <si>
    <t xml:space="preserve">Month 9</t>
  </si>
  <si>
    <t xml:space="preserve">Month 12</t>
  </si>
  <si>
    <t xml:space="preserve">Month 18</t>
  </si>
  <si>
    <t xml:space="preserve">Month 24</t>
  </si>
  <si>
    <t xml:space="preserve">Capella Cluster Sizing — Dashboard</t>
  </si>
  <si>
    <t xml:space="preserve">Three-Mode Comparison</t>
  </si>
  <si>
    <t xml:space="preserve">MDS  (Dedicated)</t>
  </si>
  <si>
    <t xml:space="preserve">Co-located</t>
  </si>
  <si>
    <t xml:space="preserve">Hybrid</t>
  </si>
  <si>
    <t xml:space="preserve">Total Nodes</t>
  </si>
  <si>
    <t xml:space="preserve">Co-located: all services share same nodes</t>
  </si>
  <si>
    <t xml:space="preserve">Based on selected instance types in Results tab</t>
  </si>
  <si>
    <t xml:space="preserve">Credits / Year</t>
  </si>
  <si>
    <t xml:space="preserve">Monthly Savings vs MDS</t>
  </si>
  <si>
    <t xml:space="preserve">—</t>
  </si>
  <si>
    <t xml:space="preserve">Positive = cheaper than MDS</t>
  </si>
  <si>
    <t xml:space="preserve">Projected Runway (months)</t>
  </si>
  <si>
    <t xml:space="preserve">Based on credit balance in Inputs!C8</t>
  </si>
  <si>
    <t xml:space="preserve">Credit Balance Forecast  (selected mode)</t>
  </si>
  <si>
    <t xml:space="preserve">Status</t>
  </si>
  <si>
    <t xml:space="preserve">Deployment Mode Guide</t>
  </si>
  <si>
    <t xml:space="preserve">Production, latency-sensitive, payments / FedNow workloads</t>
  </si>
  <si>
    <t xml:space="preserve">Highest node count, highest credits — best isolation and independent scaling</t>
  </si>
  <si>
    <t xml:space="preserve">Dev/test, small datasets, budget-constrained</t>
  </si>
  <si>
    <t xml:space="preserve">Fewest nodes — but services compete for RAM and CPU on the same hardware</t>
  </si>
  <si>
    <t xml:space="preserve">Mid-range production — data workload dominates</t>
  </si>
  <si>
    <t xml:space="preserve">Data service isolated; Index/Query/Eventing share a pool — good balance of cost and control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</si>
</sst>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#,##0.0"/>
    <numFmt numFmtId="167" formatCode="#,##0.00"/>
    <numFmt numFmtId="168" formatCode="0.0"/>
    <numFmt numFmtId="169" formatCode="@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864"/>
      <name val="Calibri"/>
      <family val="0"/>
      <charset val="1"/>
    </font>
    <font>
      <i val="true"/>
      <sz val="9"/>
      <color rgb="FFCC0000"/>
      <name val="Calibri"/>
      <family val="0"/>
      <charset val="1"/>
    </font>
    <font>
      <b val="true"/>
      <sz val="9"/>
      <color rgb="FF000000"/>
      <name val="Calibri"/>
      <family val="0"/>
      <charset val="1"/>
    </font>
    <font>
      <sz val="10"/>
      <color rgb="FF666666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sz val="10"/>
      <color rgb="FF0000FF"/>
      <name val="Calibri"/>
      <family val="0"/>
      <charset val="1"/>
    </font>
    <font>
      <sz val="10"/>
      <color rgb="FF888888"/>
      <name val="Calibri"/>
      <family val="0"/>
      <charset val="1"/>
    </font>
    <font>
      <b val="true"/>
      <sz val="14"/>
      <color rgb="FF1F3864"/>
      <name val="Calibri"/>
      <family val="0"/>
      <charset val="1"/>
    </font>
    <font>
      <i val="true"/>
      <sz val="9"/>
      <color rgb="FF666666"/>
      <name val="Calibri"/>
      <family val="0"/>
      <charset val="1"/>
    </font>
    <font>
      <b val="true"/>
      <sz val="10"/>
      <color rgb="FF1F3864"/>
      <name val="Calibri"/>
      <family val="0"/>
      <charset val="1"/>
    </font>
    <font>
      <sz val="10"/>
      <color rgb="FF000000"/>
      <name val="Calibri"/>
      <family val="0"/>
      <charset val="1"/>
    </font>
    <font>
      <sz val="9"/>
      <color rgb="FF888888"/>
      <name val="Calibri"/>
      <family val="0"/>
      <charset val="1"/>
    </font>
    <font>
      <i val="true"/>
      <sz val="9"/>
      <color rgb="FF909090"/>
      <name val="Calibri"/>
      <family val="0"/>
      <charset val="1"/>
    </font>
    <font>
      <b val="true"/>
      <sz val="9"/>
      <color rgb="FF666666"/>
      <name val="Calibri"/>
      <family val="0"/>
      <charset val="1"/>
    </font>
    <font>
      <i val="true"/>
      <sz val="9"/>
      <color rgb="FF888888"/>
      <name val="Calibri"/>
      <family val="0"/>
      <charset val="1"/>
    </font>
    <font>
      <sz val="9"/>
      <color rgb="FF444444"/>
      <name val="Calibri"/>
      <family val="0"/>
      <charset val="1"/>
    </font>
    <font>
      <sz val="9"/>
      <color rgb="FF666666"/>
      <name val="Calibri"/>
      <family val="0"/>
      <charset val="1"/>
    </font>
    <font>
      <sz val="10"/>
      <color rgb="FF008000"/>
      <name val="Calibri"/>
      <family val="0"/>
      <charset val="1"/>
    </font>
    <font>
      <sz val="10"/>
      <color rgb="FFAAAAAA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F2F2F2"/>
      </patternFill>
    </fill>
    <fill>
      <patternFill patternType="solid">
        <fgColor rgb="FFF2F2F2"/>
        <bgColor rgb="FFEEF3FA"/>
      </patternFill>
    </fill>
    <fill>
      <patternFill patternType="solid">
        <fgColor rgb="FFFFFFFF"/>
        <bgColor rgb="FFFAFAFA"/>
      </patternFill>
    </fill>
    <fill>
      <patternFill patternType="solid">
        <fgColor rgb="FFFAFAFA"/>
        <bgColor rgb="FFFFFFFF"/>
      </patternFill>
    </fill>
    <fill>
      <patternFill patternType="solid">
        <fgColor rgb="FFEEF3FA"/>
        <bgColor rgb="FFF2F2F2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 diagonalUp="false" diagonalDown="false">
      <left/>
      <right/>
      <top/>
      <bottom style="thin">
        <color rgb="FFAAAAAA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AAAAAA"/>
      </left>
      <right/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9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21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1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4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88888"/>
      <rgbColor rgb="FFAAAAAA"/>
      <rgbColor rgb="FF993366"/>
      <rgbColor rgb="FFFFF2CC"/>
      <rgbColor rgb="FFEEF3FA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DDDDD"/>
      <rgbColor rgb="FFFAFAFA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09090"/>
      <rgbColor rgb="FF1F3864"/>
      <rgbColor rgb="FF339966"/>
      <rgbColor rgb="FF003300"/>
      <rgbColor rgb="FF333300"/>
      <rgbColor rgb="FF9933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18"/>
    <col collapsed="false" customWidth="true" hidden="false" outlineLevel="0" max="4" min="4" style="0" width="8"/>
    <col collapsed="false" customWidth="true" hidden="false" outlineLevel="0" max="5" min="5" style="0" width="11"/>
    <col collapsed="false" customWidth="true" hidden="false" outlineLevel="0" max="6" min="6" style="0" width="13"/>
    <col collapsed="false" customWidth="true" hidden="false" outlineLevel="0" max="7" min="7" style="0" width="20"/>
    <col collapsed="false" customWidth="true" hidden="false" outlineLevel="0" max="8" min="8" style="0" width="22"/>
    <col collapsed="false" customWidth="true" hidden="false" outlineLevel="0" max="9" min="9" style="0" width="28"/>
  </cols>
  <sheetData>
    <row r="2" customFormat="false" ht="24" hidden="false" customHeight="tru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  <c r="C3" s="2"/>
      <c r="D3" s="2"/>
      <c r="E3" s="2"/>
      <c r="F3" s="2"/>
      <c r="G3" s="2"/>
      <c r="H3" s="2"/>
      <c r="I3" s="2"/>
    </row>
    <row r="4" customFormat="false" ht="15" hidden="false" customHeight="false" outlineLevel="0" collapsed="false">
      <c r="B4" s="3" t="s">
        <v>2</v>
      </c>
      <c r="C4" s="3"/>
      <c r="D4" s="3"/>
      <c r="E4" s="3"/>
      <c r="F4" s="3"/>
      <c r="G4" s="3"/>
      <c r="H4" s="3"/>
      <c r="I4" s="3"/>
    </row>
    <row r="5" customFormat="false" ht="18" hidden="false" customHeight="true" outlineLevel="0" collapsed="false"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</row>
    <row r="6" customFormat="false" ht="15.75" hidden="false" customHeight="true" outlineLevel="0" collapsed="false">
      <c r="B6" s="5" t="n">
        <v>1</v>
      </c>
      <c r="C6" s="6" t="s">
        <v>11</v>
      </c>
      <c r="D6" s="7" t="n">
        <v>4</v>
      </c>
      <c r="E6" s="7" t="n">
        <v>16</v>
      </c>
      <c r="F6" s="8" t="n">
        <v>1</v>
      </c>
      <c r="G6" s="9" t="n">
        <v>1.5</v>
      </c>
      <c r="H6" s="9" t="n">
        <v>2.1</v>
      </c>
      <c r="I6" s="10" t="s">
        <v>12</v>
      </c>
    </row>
    <row r="7" customFormat="false" ht="15.75" hidden="false" customHeight="true" outlineLevel="0" collapsed="false">
      <c r="B7" s="11" t="n">
        <v>2</v>
      </c>
      <c r="C7" s="12" t="s">
        <v>13</v>
      </c>
      <c r="D7" s="13" t="n">
        <v>8</v>
      </c>
      <c r="E7" s="13" t="n">
        <v>32</v>
      </c>
      <c r="F7" s="14" t="n">
        <v>2</v>
      </c>
      <c r="G7" s="15" t="n">
        <v>3</v>
      </c>
      <c r="H7" s="15" t="n">
        <v>4.2</v>
      </c>
      <c r="I7" s="16" t="s">
        <v>14</v>
      </c>
    </row>
    <row r="8" customFormat="false" ht="15.75" hidden="false" customHeight="true" outlineLevel="0" collapsed="false">
      <c r="B8" s="5" t="n">
        <v>3</v>
      </c>
      <c r="C8" s="6" t="s">
        <v>15</v>
      </c>
      <c r="D8" s="7" t="n">
        <v>16</v>
      </c>
      <c r="E8" s="7" t="n">
        <v>64</v>
      </c>
      <c r="F8" s="8" t="n">
        <v>4</v>
      </c>
      <c r="G8" s="9" t="n">
        <v>6</v>
      </c>
      <c r="H8" s="9" t="n">
        <v>8.4</v>
      </c>
      <c r="I8" s="10" t="s">
        <v>16</v>
      </c>
    </row>
    <row r="9" customFormat="false" ht="15.75" hidden="false" customHeight="true" outlineLevel="0" collapsed="false">
      <c r="B9" s="11" t="n">
        <v>4</v>
      </c>
      <c r="C9" s="12" t="s">
        <v>17</v>
      </c>
      <c r="D9" s="13" t="n">
        <v>32</v>
      </c>
      <c r="E9" s="13" t="n">
        <v>128</v>
      </c>
      <c r="F9" s="14" t="n">
        <v>8</v>
      </c>
      <c r="G9" s="15" t="n">
        <v>12</v>
      </c>
      <c r="H9" s="15" t="n">
        <v>16.8</v>
      </c>
      <c r="I9" s="16" t="s">
        <v>18</v>
      </c>
    </row>
    <row r="10" customFormat="false" ht="15.75" hidden="false" customHeight="true" outlineLevel="0" collapsed="false">
      <c r="B10" s="5" t="n">
        <v>5</v>
      </c>
      <c r="C10" s="6" t="s">
        <v>19</v>
      </c>
      <c r="D10" s="7" t="n">
        <v>48</v>
      </c>
      <c r="E10" s="7" t="n">
        <v>192</v>
      </c>
      <c r="F10" s="8" t="n">
        <v>12</v>
      </c>
      <c r="G10" s="9" t="n">
        <v>18</v>
      </c>
      <c r="H10" s="9" t="n">
        <v>25.2</v>
      </c>
      <c r="I10" s="10" t="s">
        <v>20</v>
      </c>
    </row>
    <row r="11" customFormat="false" ht="15.75" hidden="false" customHeight="true" outlineLevel="0" collapsed="false">
      <c r="B11" s="11" t="n">
        <v>6</v>
      </c>
      <c r="C11" s="12" t="s">
        <v>21</v>
      </c>
      <c r="D11" s="13" t="n">
        <v>64</v>
      </c>
      <c r="E11" s="13" t="n">
        <v>256</v>
      </c>
      <c r="F11" s="14" t="n">
        <v>16</v>
      </c>
      <c r="G11" s="15" t="n">
        <v>24</v>
      </c>
      <c r="H11" s="15" t="n">
        <v>33.6</v>
      </c>
      <c r="I11" s="16" t="s">
        <v>22</v>
      </c>
    </row>
  </sheetData>
  <mergeCells count="2">
    <mergeCell ref="B3:I3"/>
    <mergeCell ref="B4:I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6"/>
    <col collapsed="false" customWidth="true" hidden="false" outlineLevel="0" max="3" min="3" style="0" width="20"/>
    <col collapsed="false" customWidth="true" hidden="false" outlineLevel="0" max="4" min="4" style="0" width="10"/>
    <col collapsed="false" customWidth="true" hidden="false" outlineLevel="0" max="5" min="5" style="0" width="40"/>
  </cols>
  <sheetData>
    <row r="2" customFormat="false" ht="27.75" hidden="false" customHeight="true" outlineLevel="0" collapsed="false">
      <c r="B2" s="17" t="s">
        <v>23</v>
      </c>
    </row>
    <row r="3" customFormat="false" ht="15" hidden="false" customHeight="false" outlineLevel="0" collapsed="false">
      <c r="B3" s="18" t="s">
        <v>24</v>
      </c>
    </row>
    <row r="5" customFormat="false" ht="21.75" hidden="false" customHeight="true" outlineLevel="0" collapsed="false">
      <c r="B5" s="19" t="s">
        <v>25</v>
      </c>
    </row>
    <row r="6" customFormat="false" ht="18" hidden="false" customHeight="true" outlineLevel="0" collapsed="false">
      <c r="B6" s="20" t="s">
        <v>26</v>
      </c>
      <c r="C6" s="21" t="s">
        <v>27</v>
      </c>
      <c r="D6" s="22"/>
      <c r="E6" s="23" t="s">
        <v>28</v>
      </c>
    </row>
    <row r="7" customFormat="false" ht="18" hidden="false" customHeight="true" outlineLevel="0" collapsed="false">
      <c r="B7" s="20" t="s">
        <v>29</v>
      </c>
      <c r="C7" s="21" t="s">
        <v>30</v>
      </c>
      <c r="D7" s="22"/>
      <c r="E7" s="23" t="s">
        <v>31</v>
      </c>
    </row>
    <row r="8" customFormat="false" ht="18" hidden="false" customHeight="true" outlineLevel="0" collapsed="false">
      <c r="B8" s="20" t="s">
        <v>32</v>
      </c>
      <c r="C8" s="24" t="n">
        <v>75000</v>
      </c>
      <c r="D8" s="22" t="s">
        <v>33</v>
      </c>
      <c r="E8" s="23" t="s">
        <v>34</v>
      </c>
    </row>
    <row r="9" customFormat="false" ht="18" hidden="false" customHeight="true" outlineLevel="0" collapsed="false">
      <c r="B9" s="20" t="s">
        <v>35</v>
      </c>
      <c r="C9" s="24" t="n">
        <v>12</v>
      </c>
      <c r="D9" s="22" t="s">
        <v>36</v>
      </c>
      <c r="E9" s="23" t="s">
        <v>37</v>
      </c>
    </row>
    <row r="11" customFormat="false" ht="21.75" hidden="false" customHeight="true" outlineLevel="0" collapsed="false">
      <c r="B11" s="19" t="s">
        <v>38</v>
      </c>
    </row>
    <row r="12" customFormat="false" ht="18" hidden="false" customHeight="true" outlineLevel="0" collapsed="false">
      <c r="B12" s="20" t="s">
        <v>39</v>
      </c>
      <c r="C12" s="24" t="n">
        <v>1000000</v>
      </c>
      <c r="D12" s="22" t="s">
        <v>40</v>
      </c>
      <c r="E12" s="23" t="s">
        <v>41</v>
      </c>
    </row>
    <row r="13" customFormat="false" ht="18" hidden="false" customHeight="true" outlineLevel="0" collapsed="false">
      <c r="B13" s="20" t="s">
        <v>42</v>
      </c>
      <c r="C13" s="24" t="n">
        <v>10000</v>
      </c>
      <c r="D13" s="22" t="s">
        <v>43</v>
      </c>
      <c r="E13" s="23" t="s">
        <v>44</v>
      </c>
    </row>
    <row r="14" customFormat="false" ht="18" hidden="false" customHeight="true" outlineLevel="0" collapsed="false">
      <c r="B14" s="20" t="s">
        <v>45</v>
      </c>
      <c r="C14" s="24" t="n">
        <v>50</v>
      </c>
      <c r="D14" s="22" t="s">
        <v>43</v>
      </c>
      <c r="E14" s="23" t="s">
        <v>46</v>
      </c>
    </row>
    <row r="15" customFormat="false" ht="18" hidden="false" customHeight="true" outlineLevel="0" collapsed="false">
      <c r="B15" s="20" t="s">
        <v>47</v>
      </c>
      <c r="C15" s="24" t="n">
        <v>1</v>
      </c>
      <c r="D15" s="22"/>
      <c r="E15" s="23" t="s">
        <v>48</v>
      </c>
    </row>
    <row r="16" customFormat="false" ht="18" hidden="false" customHeight="true" outlineLevel="0" collapsed="false">
      <c r="B16" s="20" t="s">
        <v>49</v>
      </c>
      <c r="C16" s="24" t="n">
        <v>20</v>
      </c>
      <c r="D16" s="22" t="s">
        <v>50</v>
      </c>
      <c r="E16" s="23" t="s">
        <v>51</v>
      </c>
    </row>
    <row r="17" customFormat="false" ht="18" hidden="false" customHeight="true" outlineLevel="0" collapsed="false">
      <c r="B17" s="20" t="s">
        <v>52</v>
      </c>
      <c r="C17" s="25" t="n">
        <v>0.7</v>
      </c>
      <c r="D17" s="22"/>
      <c r="E17" s="23" t="s">
        <v>53</v>
      </c>
    </row>
    <row r="18" customFormat="false" ht="18" hidden="false" customHeight="true" outlineLevel="0" collapsed="false">
      <c r="B18" s="20" t="s">
        <v>54</v>
      </c>
      <c r="C18" s="21" t="s">
        <v>55</v>
      </c>
      <c r="D18" s="22"/>
      <c r="E18" s="23" t="s">
        <v>56</v>
      </c>
    </row>
    <row r="19" customFormat="false" ht="18" hidden="false" customHeight="true" outlineLevel="0" collapsed="false">
      <c r="B19" s="20" t="s">
        <v>57</v>
      </c>
      <c r="C19" s="24" t="n">
        <v>5000</v>
      </c>
      <c r="D19" s="22" t="s">
        <v>40</v>
      </c>
      <c r="E19" s="23" t="s">
        <v>58</v>
      </c>
    </row>
    <row r="20" customFormat="false" ht="18" hidden="false" customHeight="true" outlineLevel="0" collapsed="false">
      <c r="B20" s="20" t="s">
        <v>59</v>
      </c>
      <c r="C20" s="24" t="n">
        <v>3</v>
      </c>
      <c r="D20" s="22" t="s">
        <v>60</v>
      </c>
      <c r="E20" s="23" t="s">
        <v>61</v>
      </c>
    </row>
    <row r="22" customFormat="false" ht="21.75" hidden="false" customHeight="true" outlineLevel="0" collapsed="false">
      <c r="B22" s="19" t="s">
        <v>62</v>
      </c>
    </row>
    <row r="23" customFormat="false" ht="18" hidden="false" customHeight="true" outlineLevel="0" collapsed="false">
      <c r="B23" s="20" t="s">
        <v>63</v>
      </c>
      <c r="C23" s="24" t="n">
        <v>10000000</v>
      </c>
      <c r="D23" s="22" t="s">
        <v>64</v>
      </c>
      <c r="E23" s="23" t="s">
        <v>65</v>
      </c>
    </row>
    <row r="24" customFormat="false" ht="18" hidden="false" customHeight="true" outlineLevel="0" collapsed="false">
      <c r="B24" s="20" t="s">
        <v>66</v>
      </c>
      <c r="C24" s="24" t="n">
        <v>50</v>
      </c>
      <c r="D24" s="22" t="s">
        <v>43</v>
      </c>
      <c r="E24" s="23" t="s">
        <v>67</v>
      </c>
    </row>
    <row r="25" customFormat="false" ht="18" hidden="false" customHeight="true" outlineLevel="0" collapsed="false">
      <c r="B25" s="20" t="s">
        <v>68</v>
      </c>
      <c r="C25" s="24" t="n">
        <v>5</v>
      </c>
      <c r="D25" s="22"/>
      <c r="E25" s="23" t="s">
        <v>69</v>
      </c>
    </row>
    <row r="26" customFormat="false" ht="18" hidden="false" customHeight="true" outlineLevel="0" collapsed="false">
      <c r="B26" s="20" t="s">
        <v>70</v>
      </c>
      <c r="C26" s="21" t="s">
        <v>71</v>
      </c>
      <c r="D26" s="22"/>
      <c r="E26" s="23" t="s">
        <v>72</v>
      </c>
    </row>
    <row r="28" customFormat="false" ht="21.75" hidden="false" customHeight="true" outlineLevel="0" collapsed="false">
      <c r="B28" s="19" t="s">
        <v>73</v>
      </c>
    </row>
    <row r="29" customFormat="false" ht="18" hidden="false" customHeight="true" outlineLevel="0" collapsed="false">
      <c r="B29" s="20" t="s">
        <v>74</v>
      </c>
      <c r="C29" s="24" t="n">
        <v>50</v>
      </c>
      <c r="D29" s="26"/>
      <c r="E29" s="23" t="s">
        <v>75</v>
      </c>
    </row>
    <row r="31" customFormat="false" ht="21.75" hidden="false" customHeight="true" outlineLevel="0" collapsed="false">
      <c r="B31" s="19" t="s">
        <v>76</v>
      </c>
    </row>
    <row r="32" customFormat="false" ht="18" hidden="false" customHeight="true" outlineLevel="0" collapsed="false">
      <c r="B32" s="20" t="s">
        <v>77</v>
      </c>
      <c r="C32" s="24" t="n">
        <v>3</v>
      </c>
      <c r="D32" s="22"/>
      <c r="E32" s="23" t="s">
        <v>78</v>
      </c>
    </row>
    <row r="33" customFormat="false" ht="18" hidden="false" customHeight="true" outlineLevel="0" collapsed="false">
      <c r="B33" s="20" t="s">
        <v>79</v>
      </c>
      <c r="C33" s="24" t="n">
        <v>20000</v>
      </c>
      <c r="D33" s="22" t="s">
        <v>80</v>
      </c>
      <c r="E33" s="23" t="s">
        <v>81</v>
      </c>
    </row>
    <row r="34" customFormat="false" ht="18" hidden="false" customHeight="true" outlineLevel="0" collapsed="false">
      <c r="B34" s="20" t="s">
        <v>82</v>
      </c>
      <c r="C34" s="21" t="s">
        <v>83</v>
      </c>
      <c r="D34" s="22"/>
      <c r="E34" s="23" t="s">
        <v>84</v>
      </c>
    </row>
    <row r="35" customFormat="false" ht="18" hidden="false" customHeight="true" outlineLevel="0" collapsed="false">
      <c r="B35" s="20" t="s">
        <v>85</v>
      </c>
      <c r="C35" s="24" t="n">
        <v>0</v>
      </c>
      <c r="D35" s="22" t="s">
        <v>86</v>
      </c>
      <c r="E35" s="23" t="s">
        <v>87</v>
      </c>
    </row>
    <row r="37" customFormat="false" ht="6" hidden="false" customHeight="true" outlineLevel="0" collapsed="false"/>
    <row r="38" customFormat="false" ht="15" hidden="false" customHeight="false" outlineLevel="0" collapsed="false">
      <c r="B38" s="27" t="s">
        <v>88</v>
      </c>
    </row>
    <row r="39" customFormat="false" ht="13.5" hidden="false" customHeight="true" outlineLevel="0" collapsed="false">
      <c r="B39" s="28" t="s">
        <v>89</v>
      </c>
    </row>
    <row r="40" customFormat="false" ht="13.5" hidden="false" customHeight="true" outlineLevel="0" collapsed="false">
      <c r="B40" s="28" t="s">
        <v>90</v>
      </c>
    </row>
    <row r="41" customFormat="false" ht="13.5" hidden="false" customHeight="true" outlineLevel="0" collapsed="false">
      <c r="B41" s="28" t="s">
        <v>91</v>
      </c>
    </row>
    <row r="42" customFormat="false" ht="13.5" hidden="false" customHeight="true" outlineLevel="0" collapsed="false">
      <c r="B42" s="28" t="s">
        <v>92</v>
      </c>
    </row>
  </sheetData>
  <dataValidations count="5">
    <dataValidation allowBlank="false" errorStyle="stop" operator="between" showDropDown="false" showErrorMessage="false" showInputMessage="false" sqref="C6" type="list">
      <formula1>"MDS,Co-located,Hybrid"</formula1>
      <formula2>0</formula2>
    </dataValidation>
    <dataValidation allowBlank="false" errorStyle="stop" operator="between" showDropDown="false" showErrorMessage="false" showInputMessage="false" sqref="C7" type="list">
      <formula1>"Developer Pro,Enterprise"</formula1>
      <formula2>0</formula2>
    </dataValidation>
    <dataValidation allowBlank="false" errorStyle="stop" operator="between" showDropDown="false" showErrorMessage="false" showInputMessage="false" sqref="C18" type="list">
      <formula1>"Magma,Couchstore"</formula1>
      <formula2>0</formula2>
    </dataValidation>
    <dataValidation allowBlank="false" errorStyle="stop" operator="between" showDropDown="false" showErrorMessage="false" showInputMessage="false" sqref="C26" type="list">
      <formula1>"Standard GSI (Plasma),Memory-Optimized (Nitro)"</formula1>
      <formula2>0</formula2>
    </dataValidation>
    <dataValidation allowBlank="false" errorStyle="stop" operator="between" showDropDown="false" showErrorMessage="false" showInputMessage="false" sqref="C34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3" min="3" style="0" width="18"/>
    <col collapsed="false" customWidth="true" hidden="false" outlineLevel="0" max="7" min="4" style="0" width="14"/>
  </cols>
  <sheetData>
    <row r="2" customFormat="false" ht="24" hidden="false" customHeight="true" outlineLevel="0" collapsed="false">
      <c r="B2" s="1" t="s">
        <v>93</v>
      </c>
    </row>
    <row r="3" customFormat="false" ht="15" hidden="false" customHeight="false" outlineLevel="0" collapsed="false">
      <c r="B3" s="29" t="str">
        <f aca="false">CONCATENATE("Mode: ",Inputs!C6,"   |   Tier: ",Inputs!C7)</f>
        <v>Mode: MDS   |   Tier: Developer Pro</v>
      </c>
    </row>
    <row r="5" customFormat="false" ht="21.75" hidden="false" customHeight="true" outlineLevel="0" collapsed="false">
      <c r="B5" s="19" t="s">
        <v>94</v>
      </c>
    </row>
    <row r="6" customFormat="false" ht="15.75" hidden="false" customHeight="true" outlineLevel="0" collapsed="false">
      <c r="B6" s="4" t="s">
        <v>95</v>
      </c>
      <c r="C6" s="4" t="s">
        <v>96</v>
      </c>
      <c r="D6" s="4" t="s">
        <v>97</v>
      </c>
      <c r="E6" s="4" t="s">
        <v>98</v>
      </c>
      <c r="F6" s="4"/>
      <c r="G6" s="4"/>
    </row>
    <row r="7" customFormat="false" ht="18" hidden="false" customHeight="true" outlineLevel="0" collapsed="false">
      <c r="B7" s="20" t="s">
        <v>99</v>
      </c>
      <c r="C7" s="30" t="n">
        <f aca="false">((Inputs!C12*(56+Inputs!C14)*(1+Inputs!C15)+Inputs!C12*Inputs!C13*(1+Inputs!C15)*(Inputs!C16/100))*1.25/0.85)/1073741824</f>
        <v>5.76872159452999</v>
      </c>
      <c r="D7" s="31" t="s">
        <v>100</v>
      </c>
      <c r="E7" s="32" t="s">
        <v>101</v>
      </c>
      <c r="F7" s="32"/>
      <c r="G7" s="32"/>
    </row>
    <row r="8" customFormat="false" ht="18" hidden="false" customHeight="true" outlineLevel="0" collapsed="false">
      <c r="B8" s="20" t="s">
        <v>102</v>
      </c>
      <c r="C8" s="30" t="n">
        <f aca="false">(((Inputs!C12*Inputs!C13*Inputs!C17*(1+Inputs!C15)+Inputs!C12*56+Inputs!C12*Inputs!C14)*IF(Inputs!C18="Magma",2.2,3))+(Inputs!C14+60)*Inputs!C20*(Inputs!C15+1)*Inputs!C19)/1073741824</f>
        <v>28.9049930870533</v>
      </c>
      <c r="D8" s="31" t="s">
        <v>100</v>
      </c>
      <c r="E8" s="32" t="s">
        <v>103</v>
      </c>
      <c r="F8" s="32"/>
      <c r="G8" s="32"/>
    </row>
    <row r="9" customFormat="false" ht="18" hidden="false" customHeight="true" outlineLevel="0" collapsed="false">
      <c r="B9" s="20" t="s">
        <v>104</v>
      </c>
      <c r="C9" s="30" t="n">
        <f aca="false">IF(Inputs!C26="Memory-Optimized (Nitro)",Inputs!C23*(120+Inputs!C14+Inputs!C24)*1.25/1073741824*Inputs!C25,Inputs!C23*(120+Inputs!C14+Inputs!C24)*2*1.25*0.2/1073741824*Inputs!C25)</f>
        <v>5.12227416038513</v>
      </c>
      <c r="D9" s="31" t="s">
        <v>100</v>
      </c>
      <c r="E9" s="32" t="s">
        <v>105</v>
      </c>
      <c r="F9" s="32"/>
      <c r="G9" s="32"/>
    </row>
    <row r="10" customFormat="false" ht="18" hidden="false" customHeight="true" outlineLevel="0" collapsed="false">
      <c r="B10" s="20" t="s">
        <v>106</v>
      </c>
      <c r="C10" s="30" t="n">
        <f aca="false">CEILING(Inputs!C29/4,1)</f>
        <v>13</v>
      </c>
      <c r="D10" s="31" t="s">
        <v>107</v>
      </c>
      <c r="E10" s="32" t="s">
        <v>108</v>
      </c>
      <c r="F10" s="32"/>
      <c r="G10" s="32"/>
    </row>
    <row r="11" customFormat="false" ht="18" hidden="false" customHeight="true" outlineLevel="0" collapsed="false">
      <c r="B11" s="20" t="s">
        <v>109</v>
      </c>
      <c r="C11" s="30" t="n">
        <f aca="false">MAX(CEILING(Inputs!C33/50000,1),2)</f>
        <v>2</v>
      </c>
      <c r="D11" s="31" t="s">
        <v>110</v>
      </c>
      <c r="E11" s="32" t="s">
        <v>111</v>
      </c>
      <c r="F11" s="32"/>
      <c r="G11" s="32"/>
    </row>
    <row r="12" customFormat="false" ht="18" hidden="false" customHeight="true" outlineLevel="0" collapsed="false">
      <c r="B12" s="20" t="s">
        <v>112</v>
      </c>
      <c r="C12" s="30" t="n">
        <f aca="false">Inputs!C32*100+IF(Inputs!C34="Yes",Inputs!C35*0.001,0)</f>
        <v>300</v>
      </c>
      <c r="D12" s="31" t="s">
        <v>113</v>
      </c>
      <c r="E12" s="32" t="s">
        <v>114</v>
      </c>
      <c r="F12" s="32"/>
      <c r="G12" s="32"/>
    </row>
    <row r="14" customFormat="false" ht="21.75" hidden="false" customHeight="true" outlineLevel="0" collapsed="false">
      <c r="B14" s="19" t="s">
        <v>115</v>
      </c>
    </row>
    <row r="15" customFormat="false" ht="15.75" hidden="false" customHeight="true" outlineLevel="0" collapsed="false">
      <c r="B15" s="4" t="s">
        <v>116</v>
      </c>
      <c r="C15" s="4" t="s">
        <v>4</v>
      </c>
      <c r="D15" s="4" t="s">
        <v>6</v>
      </c>
      <c r="E15" s="4" t="s">
        <v>5</v>
      </c>
      <c r="F15" s="4" t="s">
        <v>7</v>
      </c>
      <c r="G15" s="4" t="s">
        <v>117</v>
      </c>
    </row>
    <row r="16" customFormat="false" ht="15.75" hidden="false" customHeight="true" outlineLevel="0" collapsed="false">
      <c r="B16" s="33" t="s">
        <v>38</v>
      </c>
      <c r="C16" s="21" t="s">
        <v>13</v>
      </c>
      <c r="D16" s="34" t="n">
        <f aca="false">INDEX(Credit_Rates!$E$6:$E$11,MATCH(C16,Credit_Rates!$C$6:$C$11,0))</f>
        <v>32</v>
      </c>
      <c r="E16" s="34" t="n">
        <f aca="false">INDEX(Credit_Rates!$D$6:$D$11,MATCH(C16,Credit_Rates!$C$6:$C$11,0))</f>
        <v>8</v>
      </c>
      <c r="F16" s="35" t="n">
        <f aca="false">INDEX(Credit_Rates!$F$6:$F$11,MATCH(C16,Credit_Rates!$C$6:$C$11,0))</f>
        <v>2</v>
      </c>
      <c r="G16" s="36" t="n">
        <f aca="false">IF(Inputs!$C$7="Developer Pro",INDEX(Credit_Rates!$G$6:$G$11,MATCH(C16,Credit_Rates!$C$6:$C$11,0)),INDEX(Credit_Rates!$H$6:$H$11,MATCH(C16,Credit_Rates!$C$6:$C$11,0)))</f>
        <v>3</v>
      </c>
    </row>
    <row r="17" customFormat="false" ht="15.75" hidden="false" customHeight="true" outlineLevel="0" collapsed="false">
      <c r="B17" s="33" t="s">
        <v>62</v>
      </c>
      <c r="C17" s="21" t="s">
        <v>13</v>
      </c>
      <c r="D17" s="34" t="n">
        <f aca="false">INDEX(Credit_Rates!$E$6:$E$11,MATCH(C17,Credit_Rates!$C$6:$C$11,0))</f>
        <v>32</v>
      </c>
      <c r="E17" s="34" t="n">
        <f aca="false">INDEX(Credit_Rates!$D$6:$D$11,MATCH(C17,Credit_Rates!$C$6:$C$11,0))</f>
        <v>8</v>
      </c>
      <c r="F17" s="35" t="n">
        <f aca="false">INDEX(Credit_Rates!$F$6:$F$11,MATCH(C17,Credit_Rates!$C$6:$C$11,0))</f>
        <v>2</v>
      </c>
      <c r="G17" s="36" t="n">
        <f aca="false">IF(Inputs!$C$7="Developer Pro",INDEX(Credit_Rates!$G$6:$G$11,MATCH(C17,Credit_Rates!$C$6:$C$11,0)),INDEX(Credit_Rates!$H$6:$H$11,MATCH(C17,Credit_Rates!$C$6:$C$11,0)))</f>
        <v>3</v>
      </c>
    </row>
    <row r="18" customFormat="false" ht="15.75" hidden="false" customHeight="true" outlineLevel="0" collapsed="false">
      <c r="B18" s="33" t="s">
        <v>73</v>
      </c>
      <c r="C18" s="21" t="s">
        <v>11</v>
      </c>
      <c r="D18" s="34" t="n">
        <f aca="false">INDEX(Credit_Rates!$E$6:$E$11,MATCH(C18,Credit_Rates!$C$6:$C$11,0))</f>
        <v>16</v>
      </c>
      <c r="E18" s="34" t="n">
        <f aca="false">INDEX(Credit_Rates!$D$6:$D$11,MATCH(C18,Credit_Rates!$C$6:$C$11,0))</f>
        <v>4</v>
      </c>
      <c r="F18" s="35" t="n">
        <f aca="false">INDEX(Credit_Rates!$F$6:$F$11,MATCH(C18,Credit_Rates!$C$6:$C$11,0))</f>
        <v>1</v>
      </c>
      <c r="G18" s="36" t="n">
        <f aca="false">IF(Inputs!$C$7="Developer Pro",INDEX(Credit_Rates!$G$6:$G$11,MATCH(C18,Credit_Rates!$C$6:$C$11,0)),INDEX(Credit_Rates!$H$6:$H$11,MATCH(C18,Credit_Rates!$C$6:$C$11,0)))</f>
        <v>1.5</v>
      </c>
    </row>
    <row r="19" customFormat="false" ht="15.75" hidden="false" customHeight="true" outlineLevel="0" collapsed="false">
      <c r="B19" s="33" t="s">
        <v>76</v>
      </c>
      <c r="C19" s="21" t="s">
        <v>11</v>
      </c>
      <c r="D19" s="34" t="n">
        <f aca="false">INDEX(Credit_Rates!$E$6:$E$11,MATCH(C19,Credit_Rates!$C$6:$C$11,0))</f>
        <v>16</v>
      </c>
      <c r="E19" s="34" t="n">
        <f aca="false">INDEX(Credit_Rates!$D$6:$D$11,MATCH(C19,Credit_Rates!$C$6:$C$11,0))</f>
        <v>4</v>
      </c>
      <c r="F19" s="35" t="n">
        <f aca="false">INDEX(Credit_Rates!$F$6:$F$11,MATCH(C19,Credit_Rates!$C$6:$C$11,0))</f>
        <v>1</v>
      </c>
      <c r="G19" s="36" t="n">
        <f aca="false">IF(Inputs!$C$7="Developer Pro",INDEX(Credit_Rates!$G$6:$G$11,MATCH(C19,Credit_Rates!$C$6:$C$11,0)),INDEX(Credit_Rates!$H$6:$H$11,MATCH(C19,Credit_Rates!$C$6:$C$11,0)))</f>
        <v>1.5</v>
      </c>
    </row>
    <row r="21" customFormat="false" ht="21.75" hidden="false" customHeight="true" outlineLevel="0" collapsed="false">
      <c r="B21" s="19" t="s">
        <v>118</v>
      </c>
    </row>
    <row r="22" customFormat="false" ht="15.75" hidden="false" customHeight="true" outlineLevel="0" collapsed="false">
      <c r="B22" s="4" t="s">
        <v>116</v>
      </c>
      <c r="C22" s="4" t="s">
        <v>119</v>
      </c>
      <c r="D22" s="4" t="s">
        <v>117</v>
      </c>
      <c r="E22" s="4" t="s">
        <v>120</v>
      </c>
    </row>
    <row r="23" customFormat="false" ht="15.75" hidden="false" customHeight="true" outlineLevel="0" collapsed="false">
      <c r="B23" s="20" t="s">
        <v>38</v>
      </c>
      <c r="C23" s="37" t="n">
        <f aca="false">MAX(CEILING($C$7/$D$16,1),CEILING($C$8/($F$16*1000),1),3)</f>
        <v>3</v>
      </c>
      <c r="D23" s="38" t="n">
        <f aca="false">C23*$G$16</f>
        <v>9</v>
      </c>
      <c r="E23" s="37" t="n">
        <f aca="false">D23*24*30</f>
        <v>6480</v>
      </c>
    </row>
    <row r="24" customFormat="false" ht="15.75" hidden="false" customHeight="true" outlineLevel="0" collapsed="false">
      <c r="B24" s="20" t="s">
        <v>62</v>
      </c>
      <c r="C24" s="37" t="n">
        <f aca="false">MAX(CEILING($C$9/$D$17,1),2)</f>
        <v>2</v>
      </c>
      <c r="D24" s="38" t="n">
        <f aca="false">C24*$G$17</f>
        <v>6</v>
      </c>
      <c r="E24" s="37" t="n">
        <f aca="false">D24*24*30</f>
        <v>4320</v>
      </c>
    </row>
    <row r="25" customFormat="false" ht="15.75" hidden="false" customHeight="true" outlineLevel="0" collapsed="false">
      <c r="B25" s="20" t="s">
        <v>73</v>
      </c>
      <c r="C25" s="37" t="n">
        <f aca="false">MAX(CEILING($C$10/$E$18,1),2)</f>
        <v>4</v>
      </c>
      <c r="D25" s="38" t="n">
        <f aca="false">C25*$G$18</f>
        <v>6</v>
      </c>
      <c r="E25" s="37" t="n">
        <f aca="false">D25*24*30</f>
        <v>4320</v>
      </c>
    </row>
    <row r="26" customFormat="false" ht="15.75" hidden="false" customHeight="true" outlineLevel="0" collapsed="false">
      <c r="B26" s="20" t="s">
        <v>76</v>
      </c>
      <c r="C26" s="37" t="n">
        <f aca="false">$C$11</f>
        <v>2</v>
      </c>
      <c r="D26" s="38" t="n">
        <f aca="false">C26*$G$19</f>
        <v>3</v>
      </c>
      <c r="E26" s="37" t="n">
        <f aca="false">D26*24*30</f>
        <v>2160</v>
      </c>
    </row>
    <row r="27" customFormat="false" ht="15.75" hidden="false" customHeight="true" outlineLevel="0" collapsed="false">
      <c r="B27" s="33" t="s">
        <v>121</v>
      </c>
      <c r="C27" s="39" t="n">
        <f aca="false">SUM(C23:C26)</f>
        <v>11</v>
      </c>
      <c r="D27" s="40" t="n">
        <f aca="false">SUM(D23:D26)</f>
        <v>24</v>
      </c>
      <c r="E27" s="39" t="n">
        <f aca="false">SUM(E23:E26)</f>
        <v>17280</v>
      </c>
    </row>
    <row r="29" customFormat="false" ht="21.75" hidden="false" customHeight="true" outlineLevel="0" collapsed="false">
      <c r="B29" s="19" t="s">
        <v>122</v>
      </c>
    </row>
    <row r="30" customFormat="false" ht="15.75" hidden="false" customHeight="true" outlineLevel="0" collapsed="false">
      <c r="B30" s="41" t="s">
        <v>123</v>
      </c>
      <c r="C30" s="41"/>
      <c r="D30" s="41"/>
      <c r="E30" s="41"/>
      <c r="F30" s="41"/>
      <c r="G30" s="41"/>
    </row>
    <row r="31" customFormat="false" ht="15.75" hidden="false" customHeight="true" outlineLevel="0" collapsed="false">
      <c r="B31" s="4" t="s">
        <v>124</v>
      </c>
      <c r="C31" s="4" t="s">
        <v>119</v>
      </c>
      <c r="D31" s="4" t="s">
        <v>117</v>
      </c>
      <c r="E31" s="4" t="s">
        <v>120</v>
      </c>
    </row>
    <row r="32" customFormat="false" ht="15.75" hidden="false" customHeight="true" outlineLevel="0" collapsed="false">
      <c r="B32" s="20" t="s">
        <v>125</v>
      </c>
      <c r="C32" s="37" t="n">
        <f aca="false">MAX(C23,C24,C25,C26,CEILING(($C$7+$C$9)/($D$16*0.85),1))</f>
        <v>4</v>
      </c>
      <c r="D32" s="38" t="n">
        <f aca="false">C32*G16</f>
        <v>12</v>
      </c>
      <c r="E32" s="37" t="n">
        <f aca="false">D32*24*30</f>
        <v>8640</v>
      </c>
    </row>
    <row r="34" customFormat="false" ht="21.75" hidden="false" customHeight="true" outlineLevel="0" collapsed="false">
      <c r="B34" s="19" t="s">
        <v>126</v>
      </c>
    </row>
    <row r="35" customFormat="false" ht="15.75" hidden="false" customHeight="true" outlineLevel="0" collapsed="false">
      <c r="B35" s="4" t="s">
        <v>124</v>
      </c>
      <c r="C35" s="4" t="s">
        <v>119</v>
      </c>
      <c r="D35" s="4" t="s">
        <v>117</v>
      </c>
      <c r="E35" s="4" t="s">
        <v>120</v>
      </c>
    </row>
    <row r="36" customFormat="false" ht="15.75" hidden="false" customHeight="true" outlineLevel="0" collapsed="false">
      <c r="B36" s="20" t="s">
        <v>127</v>
      </c>
      <c r="C36" s="37" t="n">
        <f aca="false">C23</f>
        <v>3</v>
      </c>
      <c r="D36" s="38" t="n">
        <f aca="false">C36*G16</f>
        <v>9</v>
      </c>
      <c r="E36" s="37" t="n">
        <f aca="false">D36*24*30</f>
        <v>6480</v>
      </c>
    </row>
    <row r="37" customFormat="false" ht="15.75" hidden="false" customHeight="true" outlineLevel="0" collapsed="false">
      <c r="B37" s="20" t="s">
        <v>128</v>
      </c>
      <c r="C37" s="37" t="n">
        <f aca="false">MAX(C24,C25,C26,CEILING($C$9/$D$17,1),2)</f>
        <v>4</v>
      </c>
      <c r="D37" s="38" t="n">
        <f aca="false">C37*G17</f>
        <v>12</v>
      </c>
      <c r="E37" s="37" t="n">
        <f aca="false">D37*24*30</f>
        <v>8640</v>
      </c>
    </row>
    <row r="38" customFormat="false" ht="15.75" hidden="false" customHeight="true" outlineLevel="0" collapsed="false">
      <c r="B38" s="33" t="s">
        <v>121</v>
      </c>
      <c r="C38" s="39" t="n">
        <f aca="false">C36+C37</f>
        <v>7</v>
      </c>
      <c r="D38" s="40" t="n">
        <f aca="false">D36+D37</f>
        <v>21</v>
      </c>
      <c r="E38" s="39" t="n">
        <f aca="false">E36+E37</f>
        <v>15120</v>
      </c>
    </row>
    <row r="40" customFormat="false" ht="21.75" hidden="false" customHeight="true" outlineLevel="0" collapsed="false">
      <c r="B40" s="19" t="s">
        <v>129</v>
      </c>
    </row>
    <row r="41" customFormat="false" ht="15.75" hidden="false" customHeight="true" outlineLevel="0" collapsed="false">
      <c r="B41" s="4" t="s">
        <v>95</v>
      </c>
      <c r="C41" s="4" t="s">
        <v>96</v>
      </c>
      <c r="D41" s="4"/>
      <c r="E41" s="4"/>
      <c r="F41" s="4"/>
      <c r="G41" s="4"/>
    </row>
    <row r="42" customFormat="false" ht="15.75" hidden="false" customHeight="true" outlineLevel="0" collapsed="false">
      <c r="B42" s="20" t="s">
        <v>130</v>
      </c>
      <c r="C42" s="37" t="n">
        <f aca="false">IF(Inputs!C6="MDS",E27,IF(Inputs!C6="Co-located",E32,E38))</f>
        <v>17280</v>
      </c>
      <c r="D42" s="42" t="s">
        <v>131</v>
      </c>
      <c r="E42" s="42"/>
      <c r="F42" s="42"/>
      <c r="G42" s="42"/>
    </row>
    <row r="43" customFormat="false" ht="15.75" hidden="false" customHeight="true" outlineLevel="0" collapsed="false">
      <c r="B43" s="20" t="s">
        <v>132</v>
      </c>
      <c r="C43" s="37" t="n">
        <f aca="false">Inputs!C8</f>
        <v>75000</v>
      </c>
      <c r="D43" s="42" t="s">
        <v>33</v>
      </c>
      <c r="E43" s="42"/>
      <c r="F43" s="42"/>
      <c r="G43" s="42"/>
    </row>
    <row r="44" customFormat="false" ht="15.75" hidden="false" customHeight="true" outlineLevel="0" collapsed="false">
      <c r="B44" s="20" t="s">
        <v>133</v>
      </c>
      <c r="C44" s="43" t="n">
        <f aca="false">IFERROR(C43/C42,0)</f>
        <v>4.34027777777778</v>
      </c>
      <c r="D44" s="42" t="s">
        <v>36</v>
      </c>
      <c r="E44" s="42"/>
      <c r="F44" s="42"/>
      <c r="G44" s="42"/>
    </row>
    <row r="45" customFormat="false" ht="15.75" hidden="false" customHeight="true" outlineLevel="0" collapsed="false">
      <c r="B45" s="20" t="s">
        <v>134</v>
      </c>
      <c r="C45" s="44" t="str">
        <f aca="true">IFERROR(TEXT(TODAY()+C44*30,"YYYY-MM-DD"),"N/A")</f>
        <v>2026-09-19</v>
      </c>
      <c r="D45" s="42"/>
      <c r="E45" s="42"/>
      <c r="F45" s="42"/>
      <c r="G45" s="42"/>
    </row>
    <row r="46" customFormat="false" ht="7.5" hidden="false" customHeight="true" outlineLevel="0" collapsed="false"/>
    <row r="47" customFormat="false" ht="21.75" hidden="false" customHeight="true" outlineLevel="0" collapsed="false">
      <c r="B47" s="19" t="s">
        <v>135</v>
      </c>
    </row>
    <row r="48" customFormat="false" ht="15.75" hidden="false" customHeight="true" outlineLevel="0" collapsed="false">
      <c r="B48" s="4" t="s">
        <v>136</v>
      </c>
      <c r="C48" s="4" t="s">
        <v>137</v>
      </c>
      <c r="D48" s="4"/>
      <c r="E48" s="4"/>
      <c r="F48" s="4"/>
      <c r="G48" s="4"/>
    </row>
    <row r="49" customFormat="false" ht="15.75" hidden="false" customHeight="true" outlineLevel="0" collapsed="false">
      <c r="B49" s="20" t="s">
        <v>138</v>
      </c>
      <c r="C49" s="37" t="n">
        <f aca="false">MAX(C43-3*C42,0)</f>
        <v>23160</v>
      </c>
    </row>
    <row r="50" customFormat="false" ht="15.75" hidden="false" customHeight="true" outlineLevel="0" collapsed="false">
      <c r="B50" s="20" t="s">
        <v>139</v>
      </c>
      <c r="C50" s="37" t="n">
        <f aca="false">MAX(C43-6*C42,0)</f>
        <v>0</v>
      </c>
    </row>
    <row r="51" customFormat="false" ht="15.75" hidden="false" customHeight="true" outlineLevel="0" collapsed="false">
      <c r="B51" s="20" t="s">
        <v>140</v>
      </c>
      <c r="C51" s="37" t="n">
        <f aca="false">MAX(C43-9*C42,0)</f>
        <v>0</v>
      </c>
    </row>
    <row r="52" customFormat="false" ht="15.75" hidden="false" customHeight="true" outlineLevel="0" collapsed="false">
      <c r="B52" s="20" t="s">
        <v>141</v>
      </c>
      <c r="C52" s="37" t="n">
        <f aca="false">MAX(C43-12*C42,0)</f>
        <v>0</v>
      </c>
    </row>
    <row r="53" customFormat="false" ht="15.75" hidden="false" customHeight="true" outlineLevel="0" collapsed="false">
      <c r="B53" s="20" t="s">
        <v>142</v>
      </c>
      <c r="C53" s="37" t="n">
        <f aca="false">MAX(C43-18*C42,0)</f>
        <v>0</v>
      </c>
    </row>
    <row r="54" customFormat="false" ht="15.75" hidden="false" customHeight="true" outlineLevel="0" collapsed="false">
      <c r="B54" s="20" t="s">
        <v>143</v>
      </c>
      <c r="C54" s="37" t="n">
        <f aca="false">MAX(C43-24*C42,0)</f>
        <v>0</v>
      </c>
    </row>
  </sheetData>
  <mergeCells count="14">
    <mergeCell ref="E6:G6"/>
    <mergeCell ref="E7:G7"/>
    <mergeCell ref="E8:G8"/>
    <mergeCell ref="E9:G9"/>
    <mergeCell ref="E10:G10"/>
    <mergeCell ref="E11:G11"/>
    <mergeCell ref="E12:G12"/>
    <mergeCell ref="B30:G30"/>
    <mergeCell ref="D41:G41"/>
    <mergeCell ref="D42:G42"/>
    <mergeCell ref="D43:G43"/>
    <mergeCell ref="D44:G44"/>
    <mergeCell ref="D45:G45"/>
    <mergeCell ref="D48:G48"/>
  </mergeCells>
  <dataValidations count="1">
    <dataValidation allowBlank="false" errorStyle="stop" operator="between" showDropDown="false" showErrorMessage="false" showInputMessage="false" sqref="C16:C19" type="list">
      <formula1>"m5.xlarge,m5.2xlarge,m5.4xlarge,m5.8xlarge,m5.12xlarge,m5.16xlarge"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2"/>
    <col collapsed="false" customWidth="true" hidden="false" outlineLevel="0" max="5" min="3" style="0" width="18"/>
    <col collapsed="false" customWidth="true" hidden="false" outlineLevel="0" max="6" min="6" style="0" width="20"/>
  </cols>
  <sheetData>
    <row r="2" customFormat="false" ht="27.75" hidden="false" customHeight="true" outlineLevel="0" collapsed="false">
      <c r="B2" s="1" t="s">
        <v>144</v>
      </c>
    </row>
    <row r="3" customFormat="false" ht="15" hidden="false" customHeight="false" outlineLevel="0" collapsed="false">
      <c r="B3" s="45" t="str">
        <f aca="false">CONCATENATE(Inputs!C6," mode selected   |   ",Inputs!C7,"   |   Balance: ",TEXT(Inputs!C8,"#,##0")," credits")</f>
        <v>MDS mode selected   |   Developer Pro   |   Balance: 75,000 credits</v>
      </c>
      <c r="C3" s="45"/>
      <c r="D3" s="45"/>
      <c r="E3" s="45"/>
      <c r="F3" s="45"/>
    </row>
    <row r="5" customFormat="false" ht="21.75" hidden="false" customHeight="true" outlineLevel="0" collapsed="false">
      <c r="B5" s="19" t="s">
        <v>145</v>
      </c>
    </row>
    <row r="6" customFormat="false" ht="19.5" hidden="false" customHeight="true" outlineLevel="0" collapsed="false">
      <c r="B6" s="4" t="s">
        <v>95</v>
      </c>
      <c r="C6" s="4" t="s">
        <v>146</v>
      </c>
      <c r="D6" s="4" t="s">
        <v>147</v>
      </c>
      <c r="E6" s="4" t="s">
        <v>148</v>
      </c>
      <c r="F6" s="4" t="s">
        <v>10</v>
      </c>
    </row>
    <row r="7" customFormat="false" ht="16.5" hidden="false" customHeight="true" outlineLevel="0" collapsed="false">
      <c r="B7" s="20" t="s">
        <v>149</v>
      </c>
      <c r="C7" s="37" t="n">
        <f aca="false">Results!C27</f>
        <v>11</v>
      </c>
      <c r="D7" s="37" t="n">
        <f aca="false">Results!C32</f>
        <v>4</v>
      </c>
      <c r="E7" s="37" t="n">
        <f aca="false">Results!C38</f>
        <v>7</v>
      </c>
      <c r="F7" s="23" t="s">
        <v>150</v>
      </c>
    </row>
    <row r="8" customFormat="false" ht="16.5" hidden="false" customHeight="true" outlineLevel="0" collapsed="false">
      <c r="B8" s="20" t="s">
        <v>117</v>
      </c>
      <c r="C8" s="38" t="n">
        <f aca="false">Results!D27</f>
        <v>24</v>
      </c>
      <c r="D8" s="38" t="n">
        <f aca="false">Results!D32</f>
        <v>12</v>
      </c>
      <c r="E8" s="38" t="n">
        <f aca="false">Results!D38</f>
        <v>21</v>
      </c>
      <c r="F8" s="23"/>
    </row>
    <row r="9" customFormat="false" ht="16.5" hidden="false" customHeight="true" outlineLevel="0" collapsed="false">
      <c r="B9" s="33" t="s">
        <v>120</v>
      </c>
      <c r="C9" s="39" t="n">
        <f aca="false">Results!E27</f>
        <v>17280</v>
      </c>
      <c r="D9" s="39" t="n">
        <f aca="false">Results!E32</f>
        <v>8640</v>
      </c>
      <c r="E9" s="39" t="n">
        <f aca="false">Results!E38</f>
        <v>15120</v>
      </c>
      <c r="F9" s="23" t="s">
        <v>151</v>
      </c>
    </row>
    <row r="10" customFormat="false" ht="16.5" hidden="false" customHeight="true" outlineLevel="0" collapsed="false">
      <c r="B10" s="20" t="s">
        <v>152</v>
      </c>
      <c r="C10" s="37" t="n">
        <f aca="false">Results!E27*12</f>
        <v>207360</v>
      </c>
      <c r="D10" s="37" t="n">
        <f aca="false">Results!E32*12</f>
        <v>103680</v>
      </c>
      <c r="E10" s="37" t="n">
        <f aca="false">Results!E38*12</f>
        <v>181440</v>
      </c>
      <c r="F10" s="23"/>
    </row>
    <row r="11" customFormat="false" ht="16.5" hidden="false" customHeight="true" outlineLevel="0" collapsed="false">
      <c r="B11" s="20" t="s">
        <v>153</v>
      </c>
      <c r="C11" s="46" t="s">
        <v>154</v>
      </c>
      <c r="D11" s="37" t="n">
        <f aca="false">Results!E27-Results!E32</f>
        <v>8640</v>
      </c>
      <c r="E11" s="37" t="n">
        <f aca="false">Results!E27-Results!E38</f>
        <v>2160</v>
      </c>
      <c r="F11" s="23" t="s">
        <v>155</v>
      </c>
    </row>
    <row r="12" customFormat="false" ht="16.5" hidden="false" customHeight="true" outlineLevel="0" collapsed="false">
      <c r="B12" s="33" t="s">
        <v>156</v>
      </c>
      <c r="C12" s="39" t="n">
        <f aca="false">IFERROR(Inputs!C8/Results!E27,0)</f>
        <v>4.34027777777778</v>
      </c>
      <c r="D12" s="39" t="n">
        <f aca="false">IFERROR(Inputs!C8/Results!E32,0)</f>
        <v>8.68055555555556</v>
      </c>
      <c r="E12" s="39" t="n">
        <f aca="false">IFERROR(Inputs!C8/Results!E38,0)</f>
        <v>4.96031746031746</v>
      </c>
      <c r="F12" s="23" t="s">
        <v>157</v>
      </c>
    </row>
    <row r="13" customFormat="false" ht="6" hidden="false" customHeight="true" outlineLevel="0" collapsed="false"/>
    <row r="14" customFormat="false" ht="21.75" hidden="false" customHeight="true" outlineLevel="0" collapsed="false">
      <c r="B14" s="47" t="str">
        <f aca="false">CONCATENATE("Selected mode: ",Inputs!C6,"   —   Monthly burn: ",TEXT(IF(Inputs!C6="MDS",Results!E27,IF(Inputs!C6="Co-located",Results!E32,Results!E38)),"#,##0"),"  credits/month   —   Runway: ",TEXT(Results!C44,"#,##0.0")," months")</f>
        <v>Selected mode: MDS   —   Monthly burn: 17,280  credits/month   —   Runway: 4.3 months</v>
      </c>
      <c r="C14" s="47"/>
      <c r="D14" s="47"/>
      <c r="E14" s="47"/>
      <c r="F14" s="47"/>
    </row>
    <row r="16" customFormat="false" ht="7.5" hidden="false" customHeight="true" outlineLevel="0" collapsed="false"/>
    <row r="17" customFormat="false" ht="21.75" hidden="false" customHeight="true" outlineLevel="0" collapsed="false">
      <c r="B17" s="19" t="s">
        <v>158</v>
      </c>
    </row>
    <row r="18" customFormat="false" ht="15.75" hidden="false" customHeight="true" outlineLevel="0" collapsed="false">
      <c r="B18" s="4" t="s">
        <v>136</v>
      </c>
      <c r="C18" s="4" t="s">
        <v>137</v>
      </c>
      <c r="D18" s="4" t="s">
        <v>159</v>
      </c>
      <c r="E18" s="4"/>
      <c r="F18" s="4"/>
    </row>
    <row r="19" customFormat="false" ht="15.75" hidden="false" customHeight="true" outlineLevel="0" collapsed="false">
      <c r="B19" s="20" t="s">
        <v>138</v>
      </c>
      <c r="C19" s="34" t="n">
        <f aca="false">Results!C49</f>
        <v>23160</v>
      </c>
      <c r="D19" s="48" t="str">
        <f aca="false">IF(Results!C49&gt;0,"Sufficient","Depleted")</f>
        <v>Sufficient</v>
      </c>
      <c r="E19" s="48"/>
      <c r="F19" s="48"/>
    </row>
    <row r="20" customFormat="false" ht="15.75" hidden="false" customHeight="true" outlineLevel="0" collapsed="false">
      <c r="B20" s="20" t="s">
        <v>139</v>
      </c>
      <c r="C20" s="34" t="n">
        <f aca="false">Results!C50</f>
        <v>0</v>
      </c>
      <c r="D20" s="48" t="str">
        <f aca="false">IF(Results!C50&gt;0,"Sufficient","Depleted")</f>
        <v>Depleted</v>
      </c>
      <c r="E20" s="48"/>
      <c r="F20" s="48"/>
    </row>
    <row r="21" customFormat="false" ht="15.75" hidden="false" customHeight="true" outlineLevel="0" collapsed="false">
      <c r="B21" s="20" t="s">
        <v>140</v>
      </c>
      <c r="C21" s="34" t="n">
        <f aca="false">Results!C51</f>
        <v>0</v>
      </c>
      <c r="D21" s="48" t="str">
        <f aca="false">IF(Results!C51&gt;0,"Sufficient","Depleted")</f>
        <v>Depleted</v>
      </c>
      <c r="E21" s="48"/>
      <c r="F21" s="48"/>
    </row>
    <row r="22" customFormat="false" ht="15.75" hidden="false" customHeight="true" outlineLevel="0" collapsed="false">
      <c r="B22" s="20" t="s">
        <v>141</v>
      </c>
      <c r="C22" s="34" t="n">
        <f aca="false">Results!C52</f>
        <v>0</v>
      </c>
      <c r="D22" s="48" t="str">
        <f aca="false">IF(Results!C52&gt;0,"Sufficient","Depleted")</f>
        <v>Depleted</v>
      </c>
      <c r="E22" s="48"/>
      <c r="F22" s="48"/>
    </row>
    <row r="23" customFormat="false" ht="15.75" hidden="false" customHeight="true" outlineLevel="0" collapsed="false">
      <c r="B23" s="20" t="s">
        <v>142</v>
      </c>
      <c r="C23" s="34" t="n">
        <f aca="false">Results!C53</f>
        <v>0</v>
      </c>
      <c r="D23" s="48" t="str">
        <f aca="false">IF(Results!C53&gt;0,"Sufficient","Depleted")</f>
        <v>Depleted</v>
      </c>
      <c r="E23" s="48"/>
      <c r="F23" s="48"/>
    </row>
    <row r="24" customFormat="false" ht="15.75" hidden="false" customHeight="true" outlineLevel="0" collapsed="false">
      <c r="B24" s="20" t="s">
        <v>143</v>
      </c>
      <c r="C24" s="34" t="n">
        <f aca="false">Results!C54</f>
        <v>0</v>
      </c>
      <c r="D24" s="48" t="str">
        <f aca="false">IF(Results!C54&gt;0,"Sufficient","Depleted")</f>
        <v>Depleted</v>
      </c>
      <c r="E24" s="48"/>
      <c r="F24" s="48"/>
    </row>
    <row r="26" customFormat="false" ht="7.5" hidden="false" customHeight="true" outlineLevel="0" collapsed="false"/>
    <row r="27" customFormat="false" ht="21.75" hidden="false" customHeight="true" outlineLevel="0" collapsed="false">
      <c r="B27" s="19" t="s">
        <v>160</v>
      </c>
    </row>
    <row r="28" customFormat="false" ht="27.75" hidden="false" customHeight="true" outlineLevel="0" collapsed="false">
      <c r="B28" s="33" t="s">
        <v>146</v>
      </c>
      <c r="C28" s="49" t="s">
        <v>161</v>
      </c>
      <c r="D28" s="49"/>
      <c r="E28" s="50" t="s">
        <v>162</v>
      </c>
      <c r="F28" s="50"/>
    </row>
    <row r="29" customFormat="false" ht="27.75" hidden="false" customHeight="true" outlineLevel="0" collapsed="false">
      <c r="B29" s="33" t="s">
        <v>147</v>
      </c>
      <c r="C29" s="49" t="s">
        <v>163</v>
      </c>
      <c r="D29" s="49"/>
      <c r="E29" s="50" t="s">
        <v>164</v>
      </c>
      <c r="F29" s="50"/>
    </row>
    <row r="30" customFormat="false" ht="27.75" hidden="false" customHeight="true" outlineLevel="0" collapsed="false">
      <c r="B30" s="33" t="s">
        <v>148</v>
      </c>
      <c r="C30" s="49" t="s">
        <v>165</v>
      </c>
      <c r="D30" s="49"/>
      <c r="E30" s="50" t="s">
        <v>166</v>
      </c>
      <c r="F30" s="50"/>
    </row>
  </sheetData>
  <mergeCells count="15">
    <mergeCell ref="B3:F3"/>
    <mergeCell ref="B14:F14"/>
    <mergeCell ref="E18:F18"/>
    <mergeCell ref="D19:F19"/>
    <mergeCell ref="D20:F20"/>
    <mergeCell ref="D21:F21"/>
    <mergeCell ref="D22:F22"/>
    <mergeCell ref="D23:F23"/>
    <mergeCell ref="D24:F24"/>
    <mergeCell ref="C28:D28"/>
    <mergeCell ref="E28:F28"/>
    <mergeCell ref="C29:D29"/>
    <mergeCell ref="E29:F29"/>
    <mergeCell ref="C30:D30"/>
    <mergeCell ref="E30:F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2026-05-12T14:29:51Z</dcterms:created>
  <dc:creator>openpyxl</dc:creator>
  <dc:description/>
  <dc:language>en-US</dc:language>
  <cp:lastModifiedBy/>
  <dcterms:modified xsi:type="dcterms:W3CDTF">2026-05-12T14:29:51Z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